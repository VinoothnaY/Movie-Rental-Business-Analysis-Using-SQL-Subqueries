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43ae759063483f/Desktop/Vinoothna/Vista Tech/Project/project2/"/>
    </mc:Choice>
  </mc:AlternateContent>
  <xr:revisionPtr revIDLastSave="455" documentId="8_{9BEFAC01-4112-490A-AF74-B9E33B71F68B}" xr6:coauthVersionLast="47" xr6:coauthVersionMax="47" xr10:uidLastSave="{9D38F0CD-672C-4DF6-91DD-85BC96B2E206}"/>
  <bookViews>
    <workbookView xWindow="-110" yWindow="-110" windowWidth="19420" windowHeight="11500" firstSheet="4" activeTab="7" xr2:uid="{D33E14AC-2D70-49CB-B96D-C2F2FC5EFEA0}"/>
  </bookViews>
  <sheets>
    <sheet name="Q1_Above_Average" sheetId="1" r:id="rId1"/>
    <sheet name="Q2_Top_Films" sheetId="2" r:id="rId2"/>
    <sheet name="Q3_Never_Rented" sheetId="3" r:id="rId3"/>
    <sheet name="Q4_Store_Average" sheetId="4" r:id="rId4"/>
    <sheet name="Q5_Category_Revenue" sheetId="5" r:id="rId5"/>
    <sheet name="Q6_Staff_Workload" sheetId="6" r:id="rId6"/>
    <sheet name="Q7_Customer_CLV" sheetId="7" r:id="rId7"/>
    <sheet name="Dashboard" sheetId="8" r:id="rId8"/>
  </sheets>
  <definedNames>
    <definedName name="_xlchart.v1.0" hidden="1">Q7_Customer_CLV!$B$2:$C$11</definedName>
    <definedName name="_xlchart.v1.1" hidden="1">Q7_Customer_CLV!$D$2:$D$11</definedName>
    <definedName name="_xlchart.v1.2" hidden="1">Q7_Customer_CLV!$B$2:$C$11</definedName>
    <definedName name="_xlchart.v1.3" hidden="1">Q7_Customer_CLV!$D$2:$D$11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E17" i="5"/>
  <c r="E16" i="5"/>
  <c r="E15" i="5"/>
  <c r="E14" i="5"/>
  <c r="E13" i="5"/>
  <c r="E12" i="5"/>
  <c r="E11" i="5"/>
  <c r="E10" i="5"/>
  <c r="E9" i="5"/>
  <c r="E8" i="5"/>
  <c r="E7" i="5"/>
  <c r="E5" i="5"/>
  <c r="E4" i="5"/>
  <c r="E3" i="5"/>
  <c r="E2" i="5"/>
  <c r="K4" i="8"/>
  <c r="H4" i="8"/>
  <c r="B4" i="8"/>
  <c r="G5" i="7"/>
  <c r="G2" i="7"/>
  <c r="I2" i="6"/>
  <c r="F2" i="6"/>
  <c r="I2" i="5"/>
  <c r="G2" i="5"/>
  <c r="E4" i="8" s="1"/>
  <c r="J3" i="4"/>
  <c r="G3" i="4"/>
  <c r="D3" i="3"/>
  <c r="I19" i="2"/>
  <c r="F19" i="2"/>
  <c r="I21" i="1"/>
  <c r="F21" i="1"/>
</calcChain>
</file>

<file path=xl/sharedStrings.xml><?xml version="1.0" encoding="utf-8"?>
<sst xmlns="http://schemas.openxmlformats.org/spreadsheetml/2006/main" count="2490" uniqueCount="1250">
  <si>
    <t>customer_id</t>
  </si>
  <si>
    <t>total_payment</t>
  </si>
  <si>
    <t>title</t>
  </si>
  <si>
    <t>rental_count</t>
  </si>
  <si>
    <t>overall_average</t>
  </si>
  <si>
    <t>comparison</t>
  </si>
  <si>
    <t>BUCKET BROTHERHOOD</t>
  </si>
  <si>
    <t>Above Average</t>
  </si>
  <si>
    <t>ROCKETEER MOTHER</t>
  </si>
  <si>
    <t>RIDGEMONT SUBMARINE</t>
  </si>
  <si>
    <t>GRIT CLOCKWORK</t>
  </si>
  <si>
    <t>SCALAWAG DUCK</t>
  </si>
  <si>
    <t>JUGGLER HARDLY</t>
  </si>
  <si>
    <t>FORWARD TEMPLE</t>
  </si>
  <si>
    <t>HOBBIT ALIEN</t>
  </si>
  <si>
    <t>ROBBERS JOON</t>
  </si>
  <si>
    <t>ZORRO ARK</t>
  </si>
  <si>
    <t>film_id</t>
  </si>
  <si>
    <t>ALICE FANTASIA</t>
  </si>
  <si>
    <t>APOLLO TEEN</t>
  </si>
  <si>
    <t>ARGONAUTS TOWN</t>
  </si>
  <si>
    <t>ARK RIDGEMONT</t>
  </si>
  <si>
    <t>ARSENIC INDEPENDENCE</t>
  </si>
  <si>
    <t>BOONDOCK BALLROOM</t>
  </si>
  <si>
    <t>BUTCH PANTHER</t>
  </si>
  <si>
    <t>CATCH AMISTAD</t>
  </si>
  <si>
    <t>CHINATOWN GLADIATOR</t>
  </si>
  <si>
    <t>CHOCOLATE DUCK</t>
  </si>
  <si>
    <t>COMMANDMENTS EXPRESS</t>
  </si>
  <si>
    <t>CROSSING DIVORCE</t>
  </si>
  <si>
    <t>CROWDS TELEMARK</t>
  </si>
  <si>
    <t>CRYSTAL BREAKING</t>
  </si>
  <si>
    <t>DAZED PUNK</t>
  </si>
  <si>
    <t>DELIVERANCE MULHOLLAND</t>
  </si>
  <si>
    <t>FIREHOUSE VIETNAM</t>
  </si>
  <si>
    <t>FLOATS GARDEN</t>
  </si>
  <si>
    <t>FRANKENSTEIN STRANGER</t>
  </si>
  <si>
    <t>GLADIATOR WESTWARD</t>
  </si>
  <si>
    <t>GUMP DATE</t>
  </si>
  <si>
    <t>HATE HANDICAP</t>
  </si>
  <si>
    <t>HOCUS FRIDA</t>
  </si>
  <si>
    <t>KENTUCKIAN GIANT</t>
  </si>
  <si>
    <t>KILL BROTHERHOOD</t>
  </si>
  <si>
    <t>MUPPET MILE</t>
  </si>
  <si>
    <t>ORDER BETRAYED</t>
  </si>
  <si>
    <t>PEARL DESTINY</t>
  </si>
  <si>
    <t>PERDITION FARGO</t>
  </si>
  <si>
    <t>PSYCHO SHRUNK</t>
  </si>
  <si>
    <t>RAIDERS ANTITRUST</t>
  </si>
  <si>
    <t>RAINBOW SHOCK</t>
  </si>
  <si>
    <t>ROOF CHAMPION</t>
  </si>
  <si>
    <t>SISTER FREDDY</t>
  </si>
  <si>
    <t>SKY MIRACLE</t>
  </si>
  <si>
    <t>SUICIDES SILENCE</t>
  </si>
  <si>
    <t>TADPOLE PARK</t>
  </si>
  <si>
    <t>TREASURE COMMAND</t>
  </si>
  <si>
    <t>VILLAIN DESPERATE</t>
  </si>
  <si>
    <t>VOLUME HOUSE</t>
  </si>
  <si>
    <t>WAKE JAWS</t>
  </si>
  <si>
    <t>WALLS ARTIST</t>
  </si>
  <si>
    <t>first_name</t>
  </si>
  <si>
    <t>last_name</t>
  </si>
  <si>
    <t>store_id</t>
  </si>
  <si>
    <t>MARY</t>
  </si>
  <si>
    <t>SMITH</t>
  </si>
  <si>
    <t>PATRICIA</t>
  </si>
  <si>
    <t>JOHNSON</t>
  </si>
  <si>
    <t>ELIZABETH</t>
  </si>
  <si>
    <t>BROWN</t>
  </si>
  <si>
    <t>JENNIFER</t>
  </si>
  <si>
    <t>DAVIS</t>
  </si>
  <si>
    <t>MARIA</t>
  </si>
  <si>
    <t>MILLER</t>
  </si>
  <si>
    <t>NANCY</t>
  </si>
  <si>
    <t>THOMAS</t>
  </si>
  <si>
    <t>KAREN</t>
  </si>
  <si>
    <t>JACKSON</t>
  </si>
  <si>
    <t>BETTY</t>
  </si>
  <si>
    <t>WHITE</t>
  </si>
  <si>
    <t>HELEN</t>
  </si>
  <si>
    <t>HARRIS</t>
  </si>
  <si>
    <t>SANDRA</t>
  </si>
  <si>
    <t>MARTIN</t>
  </si>
  <si>
    <t>SHARON</t>
  </si>
  <si>
    <t>ROBINSON</t>
  </si>
  <si>
    <t>MICHELLE</t>
  </si>
  <si>
    <t>CLARK</t>
  </si>
  <si>
    <t>SARAH</t>
  </si>
  <si>
    <t>LEWIS</t>
  </si>
  <si>
    <t>DEBORAH</t>
  </si>
  <si>
    <t>WALKER</t>
  </si>
  <si>
    <t>JESSICA</t>
  </si>
  <si>
    <t>HALL</t>
  </si>
  <si>
    <t>SHIRLEY</t>
  </si>
  <si>
    <t>ALLEN</t>
  </si>
  <si>
    <t>CYNTHIA</t>
  </si>
  <si>
    <t>YOUNG</t>
  </si>
  <si>
    <t>ANGELA</t>
  </si>
  <si>
    <t>HERNANDEZ</t>
  </si>
  <si>
    <t>MELISSA</t>
  </si>
  <si>
    <t>KING</t>
  </si>
  <si>
    <t>AMY</t>
  </si>
  <si>
    <t>LOPEZ</t>
  </si>
  <si>
    <t>VIRGINIA</t>
  </si>
  <si>
    <t>GREEN</t>
  </si>
  <si>
    <t>KATHLEEN</t>
  </si>
  <si>
    <t>ADAMS</t>
  </si>
  <si>
    <t>MARTHA</t>
  </si>
  <si>
    <t>GONZALEZ</t>
  </si>
  <si>
    <t>DEBRA</t>
  </si>
  <si>
    <t>NELSON</t>
  </si>
  <si>
    <t>AMANDA</t>
  </si>
  <si>
    <t>CARTER</t>
  </si>
  <si>
    <t>CAROLYN</t>
  </si>
  <si>
    <t>PEREZ</t>
  </si>
  <si>
    <t>JANET</t>
  </si>
  <si>
    <t>PHILLIPS</t>
  </si>
  <si>
    <t>CATHERINE</t>
  </si>
  <si>
    <t>CAMPBELL</t>
  </si>
  <si>
    <t>JOYCE</t>
  </si>
  <si>
    <t>EDWARDS</t>
  </si>
  <si>
    <t>DIANE</t>
  </si>
  <si>
    <t>COLLINS</t>
  </si>
  <si>
    <t>ALICE</t>
  </si>
  <si>
    <t>STEWART</t>
  </si>
  <si>
    <t>JULIE</t>
  </si>
  <si>
    <t>SANCHEZ</t>
  </si>
  <si>
    <t>HEATHER</t>
  </si>
  <si>
    <t>MORRIS</t>
  </si>
  <si>
    <t>TERESA</t>
  </si>
  <si>
    <t>ROGERS</t>
  </si>
  <si>
    <t>GLORIA</t>
  </si>
  <si>
    <t>COOK</t>
  </si>
  <si>
    <t>EVELYN</t>
  </si>
  <si>
    <t>MORGAN</t>
  </si>
  <si>
    <t>JEAN</t>
  </si>
  <si>
    <t>BELL</t>
  </si>
  <si>
    <t>CHERYL</t>
  </si>
  <si>
    <t>MURPHY</t>
  </si>
  <si>
    <t>JUDITH</t>
  </si>
  <si>
    <t>COX</t>
  </si>
  <si>
    <t>JANICE</t>
  </si>
  <si>
    <t>WARD</t>
  </si>
  <si>
    <t>KATHY</t>
  </si>
  <si>
    <t>JAMES</t>
  </si>
  <si>
    <t>THERESA</t>
  </si>
  <si>
    <t>WATSON</t>
  </si>
  <si>
    <t>DENISE</t>
  </si>
  <si>
    <t>KELLY</t>
  </si>
  <si>
    <t>TAMMY</t>
  </si>
  <si>
    <t>SANDERS</t>
  </si>
  <si>
    <t>JANE</t>
  </si>
  <si>
    <t>BENNETT</t>
  </si>
  <si>
    <t>LORI</t>
  </si>
  <si>
    <t>WOOD</t>
  </si>
  <si>
    <t>MARILYN</t>
  </si>
  <si>
    <t>ROSS</t>
  </si>
  <si>
    <t>SARA</t>
  </si>
  <si>
    <t>PERRY</t>
  </si>
  <si>
    <t>JACQUELINE</t>
  </si>
  <si>
    <t>LONG</t>
  </si>
  <si>
    <t>WANDA</t>
  </si>
  <si>
    <t>PATTERSON</t>
  </si>
  <si>
    <t>JULIA</t>
  </si>
  <si>
    <t>FLORES</t>
  </si>
  <si>
    <t>RUBY</t>
  </si>
  <si>
    <t>WASHINGTON</t>
  </si>
  <si>
    <t>LOIS</t>
  </si>
  <si>
    <t>BUTLER</t>
  </si>
  <si>
    <t>TINA</t>
  </si>
  <si>
    <t>SIMMONS</t>
  </si>
  <si>
    <t>DIANA</t>
  </si>
  <si>
    <t>ALEXANDER</t>
  </si>
  <si>
    <t>CRYSTAL</t>
  </si>
  <si>
    <t>FORD</t>
  </si>
  <si>
    <t>GLADYS</t>
  </si>
  <si>
    <t>HAMILTON</t>
  </si>
  <si>
    <t>FLORENCE</t>
  </si>
  <si>
    <t>WOODS</t>
  </si>
  <si>
    <t>TRACY</t>
  </si>
  <si>
    <t>COLE</t>
  </si>
  <si>
    <t>ROSA</t>
  </si>
  <si>
    <t>REYNOLDS</t>
  </si>
  <si>
    <t>CINDY</t>
  </si>
  <si>
    <t>FISHER</t>
  </si>
  <si>
    <t>GRACE</t>
  </si>
  <si>
    <t>ELLIS</t>
  </si>
  <si>
    <t>WENDY</t>
  </si>
  <si>
    <t>HARRISON</t>
  </si>
  <si>
    <t>VICTORIA</t>
  </si>
  <si>
    <t>GIBSON</t>
  </si>
  <si>
    <t>SHERRY</t>
  </si>
  <si>
    <t>MARSHALL</t>
  </si>
  <si>
    <t>SYLVIA</t>
  </si>
  <si>
    <t>ORTIZ</t>
  </si>
  <si>
    <t>THELMA</t>
  </si>
  <si>
    <t>MURRAY</t>
  </si>
  <si>
    <t>ETHEL</t>
  </si>
  <si>
    <t>WEBB</t>
  </si>
  <si>
    <t>ELLEN</t>
  </si>
  <si>
    <t>SIMPSON</t>
  </si>
  <si>
    <t>MARJORIE</t>
  </si>
  <si>
    <t>TUCKER</t>
  </si>
  <si>
    <t>CARRIE</t>
  </si>
  <si>
    <t>PORTER</t>
  </si>
  <si>
    <t>MONICA</t>
  </si>
  <si>
    <t>HICKS</t>
  </si>
  <si>
    <t>ESTHER</t>
  </si>
  <si>
    <t>CRAWFORD</t>
  </si>
  <si>
    <t>PAULINE</t>
  </si>
  <si>
    <t>HENRY</t>
  </si>
  <si>
    <t>JUANITA</t>
  </si>
  <si>
    <t>MASON</t>
  </si>
  <si>
    <t>RHONDA</t>
  </si>
  <si>
    <t>KENNEDY</t>
  </si>
  <si>
    <t>HAZEL</t>
  </si>
  <si>
    <t>WARREN</t>
  </si>
  <si>
    <t>AMBER</t>
  </si>
  <si>
    <t>DIXON</t>
  </si>
  <si>
    <t>DEBBIE</t>
  </si>
  <si>
    <t>REYES</t>
  </si>
  <si>
    <t>CLARA</t>
  </si>
  <si>
    <t>SHAW</t>
  </si>
  <si>
    <t>LUCILLE</t>
  </si>
  <si>
    <t>HOLMES</t>
  </si>
  <si>
    <t>JAMIE</t>
  </si>
  <si>
    <t>RICE</t>
  </si>
  <si>
    <t>JOANNE</t>
  </si>
  <si>
    <t>ROBERTSON</t>
  </si>
  <si>
    <t>ELEANOR</t>
  </si>
  <si>
    <t>HUNT</t>
  </si>
  <si>
    <t>MEGAN</t>
  </si>
  <si>
    <t>PALMER</t>
  </si>
  <si>
    <t>MICHELE</t>
  </si>
  <si>
    <t>GRANT</t>
  </si>
  <si>
    <t>DARLENE</t>
  </si>
  <si>
    <t>ROSE</t>
  </si>
  <si>
    <t>VERONICA</t>
  </si>
  <si>
    <t>STONE</t>
  </si>
  <si>
    <t>ERIN</t>
  </si>
  <si>
    <t>DUNN</t>
  </si>
  <si>
    <t>GERALDINE</t>
  </si>
  <si>
    <t>PERKINS</t>
  </si>
  <si>
    <t>CATHY</t>
  </si>
  <si>
    <t>SPENCER</t>
  </si>
  <si>
    <t>LYNN</t>
  </si>
  <si>
    <t>PAYNE</t>
  </si>
  <si>
    <t>SALLY</t>
  </si>
  <si>
    <t>PIERCE</t>
  </si>
  <si>
    <t>REGINA</t>
  </si>
  <si>
    <t>BERRY</t>
  </si>
  <si>
    <t>BERNICE</t>
  </si>
  <si>
    <t>WILLIS</t>
  </si>
  <si>
    <t>AUDREY</t>
  </si>
  <si>
    <t>RAY</t>
  </si>
  <si>
    <t>JUNE</t>
  </si>
  <si>
    <t>CARROLL</t>
  </si>
  <si>
    <t>MARION</t>
  </si>
  <si>
    <t>SNYDER</t>
  </si>
  <si>
    <t>DANA</t>
  </si>
  <si>
    <t>HART</t>
  </si>
  <si>
    <t>ANA</t>
  </si>
  <si>
    <t>BRADLEY</t>
  </si>
  <si>
    <t>HOLLY</t>
  </si>
  <si>
    <t>FOX</t>
  </si>
  <si>
    <t>BRITTANY</t>
  </si>
  <si>
    <t>RILEY</t>
  </si>
  <si>
    <t>YOLANDA</t>
  </si>
  <si>
    <t>WEAVER</t>
  </si>
  <si>
    <t>ALMA</t>
  </si>
  <si>
    <t>AUSTIN</t>
  </si>
  <si>
    <t>SUE</t>
  </si>
  <si>
    <t>PETERS</t>
  </si>
  <si>
    <t>ELSIE</t>
  </si>
  <si>
    <t>KELLEY</t>
  </si>
  <si>
    <t>JEANNE</t>
  </si>
  <si>
    <t>LAWSON</t>
  </si>
  <si>
    <t>ROSEMARY</t>
  </si>
  <si>
    <t>SCHMIDT</t>
  </si>
  <si>
    <t>TERRI</t>
  </si>
  <si>
    <t>VASQUEZ</t>
  </si>
  <si>
    <t>GERTRUDE</t>
  </si>
  <si>
    <t>CASTILLO</t>
  </si>
  <si>
    <t>TONYA</t>
  </si>
  <si>
    <t>CHAPMAN</t>
  </si>
  <si>
    <t>ELLA</t>
  </si>
  <si>
    <t>OLIVER</t>
  </si>
  <si>
    <t>STACEY</t>
  </si>
  <si>
    <t>MONTGOMERY</t>
  </si>
  <si>
    <t>GINA</t>
  </si>
  <si>
    <t>WILLIAMSON</t>
  </si>
  <si>
    <t>KRISTIN</t>
  </si>
  <si>
    <t>JOHNSTON</t>
  </si>
  <si>
    <t>CHARLENE</t>
  </si>
  <si>
    <t>ALVAREZ</t>
  </si>
  <si>
    <t>BESSIE</t>
  </si>
  <si>
    <t>MORRISON</t>
  </si>
  <si>
    <t>ALLISON</t>
  </si>
  <si>
    <t>STANLEY</t>
  </si>
  <si>
    <t>JOY</t>
  </si>
  <si>
    <t>GEORGE</t>
  </si>
  <si>
    <t>MARCIA</t>
  </si>
  <si>
    <t>DEAN</t>
  </si>
  <si>
    <t>TANYA</t>
  </si>
  <si>
    <t>GILBERT</t>
  </si>
  <si>
    <t>MINNIE</t>
  </si>
  <si>
    <t>ROMERO</t>
  </si>
  <si>
    <t>HEIDI</t>
  </si>
  <si>
    <t>LARSON</t>
  </si>
  <si>
    <t>GLENDA</t>
  </si>
  <si>
    <t>FRAZIER</t>
  </si>
  <si>
    <t>VIOLA</t>
  </si>
  <si>
    <t>HANSON</t>
  </si>
  <si>
    <t>COURTNEY</t>
  </si>
  <si>
    <t>DAY</t>
  </si>
  <si>
    <t>VICKIE</t>
  </si>
  <si>
    <t>BREWER</t>
  </si>
  <si>
    <t>TERRY</t>
  </si>
  <si>
    <t>CARLSON</t>
  </si>
  <si>
    <t>MAXINE</t>
  </si>
  <si>
    <t>SILVA</t>
  </si>
  <si>
    <t>MABEL</t>
  </si>
  <si>
    <t>HOLLAND</t>
  </si>
  <si>
    <t>MARSHA</t>
  </si>
  <si>
    <t>DOUGLAS</t>
  </si>
  <si>
    <t>LENA</t>
  </si>
  <si>
    <t>JENSEN</t>
  </si>
  <si>
    <t>CHRISTY</t>
  </si>
  <si>
    <t>VARGAS</t>
  </si>
  <si>
    <t>PATSY</t>
  </si>
  <si>
    <t>DAVIDSON</t>
  </si>
  <si>
    <t>HILDA</t>
  </si>
  <si>
    <t>HOPKINS</t>
  </si>
  <si>
    <t>JENNIE</t>
  </si>
  <si>
    <t>NORA</t>
  </si>
  <si>
    <t>HERRERA</t>
  </si>
  <si>
    <t>MARGIE</t>
  </si>
  <si>
    <t>WADE</t>
  </si>
  <si>
    <t>NINA</t>
  </si>
  <si>
    <t>SOTO</t>
  </si>
  <si>
    <t>CASSANDRA</t>
  </si>
  <si>
    <t>WALTERS</t>
  </si>
  <si>
    <t>PRISCILLA</t>
  </si>
  <si>
    <t>LOWE</t>
  </si>
  <si>
    <t>NAOMI</t>
  </si>
  <si>
    <t>JENNINGS</t>
  </si>
  <si>
    <t>CAROLE</t>
  </si>
  <si>
    <t>BARNETT</t>
  </si>
  <si>
    <t>BRANDY</t>
  </si>
  <si>
    <t>GRAVES</t>
  </si>
  <si>
    <t>OLGA</t>
  </si>
  <si>
    <t>JIMENEZ</t>
  </si>
  <si>
    <t>DIANNE</t>
  </si>
  <si>
    <t>SHELTON</t>
  </si>
  <si>
    <t>TRACEY</t>
  </si>
  <si>
    <t>BARRETT</t>
  </si>
  <si>
    <t>JENNY</t>
  </si>
  <si>
    <t>CASTRO</t>
  </si>
  <si>
    <t>FELICIA</t>
  </si>
  <si>
    <t>SUTTON</t>
  </si>
  <si>
    <t>SONIA</t>
  </si>
  <si>
    <t>GREGORY</t>
  </si>
  <si>
    <t>VELMA</t>
  </si>
  <si>
    <t>LUCAS</t>
  </si>
  <si>
    <t>BECKY</t>
  </si>
  <si>
    <t>MILES</t>
  </si>
  <si>
    <t>VIOLET</t>
  </si>
  <si>
    <t>RODRIQUEZ</t>
  </si>
  <si>
    <t>KRISTINA</t>
  </si>
  <si>
    <t>CHAMBERS</t>
  </si>
  <si>
    <t>MISTY</t>
  </si>
  <si>
    <t>LAMBERT</t>
  </si>
  <si>
    <t>MAE</t>
  </si>
  <si>
    <t>FLETCHER</t>
  </si>
  <si>
    <t>DAISY</t>
  </si>
  <si>
    <t>BATES</t>
  </si>
  <si>
    <t>RAMONA</t>
  </si>
  <si>
    <t>HALE</t>
  </si>
  <si>
    <t>SHERRI</t>
  </si>
  <si>
    <t>RHODES</t>
  </si>
  <si>
    <t>GANNON</t>
  </si>
  <si>
    <t>JOHN</t>
  </si>
  <si>
    <t>FARNSWORTH</t>
  </si>
  <si>
    <t>MICHAEL</t>
  </si>
  <si>
    <t>SILVERMAN</t>
  </si>
  <si>
    <t>CHARLES</t>
  </si>
  <si>
    <t>KOWALSKI</t>
  </si>
  <si>
    <t>JOSEPH</t>
  </si>
  <si>
    <t>CHRISTOPHER</t>
  </si>
  <si>
    <t>GRECO</t>
  </si>
  <si>
    <t>LINTON</t>
  </si>
  <si>
    <t>STEVEN</t>
  </si>
  <si>
    <t>CURLEY</t>
  </si>
  <si>
    <t>EDWARD</t>
  </si>
  <si>
    <t>BAUGH</t>
  </si>
  <si>
    <t>RONALD</t>
  </si>
  <si>
    <t>WEINER</t>
  </si>
  <si>
    <t>JASON</t>
  </si>
  <si>
    <t>MORRISSEY</t>
  </si>
  <si>
    <t>MATTHEW</t>
  </si>
  <si>
    <t>MAHAN</t>
  </si>
  <si>
    <t>FRANK</t>
  </si>
  <si>
    <t>WAGGONER</t>
  </si>
  <si>
    <t>ERIC</t>
  </si>
  <si>
    <t>ROBERT</t>
  </si>
  <si>
    <t>STEPHEN</t>
  </si>
  <si>
    <t>QUALLS</t>
  </si>
  <si>
    <t>ANDREW</t>
  </si>
  <si>
    <t>PURDY</t>
  </si>
  <si>
    <t>RAYMOND</t>
  </si>
  <si>
    <t>MCWHORTER</t>
  </si>
  <si>
    <t>JOSHUA</t>
  </si>
  <si>
    <t>MARK</t>
  </si>
  <si>
    <t>JERRY</t>
  </si>
  <si>
    <t>JORDON</t>
  </si>
  <si>
    <t>DENNIS</t>
  </si>
  <si>
    <t>GILMAN</t>
  </si>
  <si>
    <t>WALTER</t>
  </si>
  <si>
    <t>PERRYMAN</t>
  </si>
  <si>
    <t>PATRICK</t>
  </si>
  <si>
    <t>NEWSOM</t>
  </si>
  <si>
    <t>HAROLD</t>
  </si>
  <si>
    <t>MARTINO</t>
  </si>
  <si>
    <t>ARTHUR</t>
  </si>
  <si>
    <t>SIMPKINS</t>
  </si>
  <si>
    <t>RYAN</t>
  </si>
  <si>
    <t>SALISBURY</t>
  </si>
  <si>
    <t>ROGER</t>
  </si>
  <si>
    <t>QUINTANILLA</t>
  </si>
  <si>
    <t>JOE</t>
  </si>
  <si>
    <t>GILLILAND</t>
  </si>
  <si>
    <t>JUSTIN</t>
  </si>
  <si>
    <t>NGO</t>
  </si>
  <si>
    <t>GERALD</t>
  </si>
  <si>
    <t>FULTZ</t>
  </si>
  <si>
    <t>RALPH</t>
  </si>
  <si>
    <t>MADRIGAL</t>
  </si>
  <si>
    <t>LAWRENCE</t>
  </si>
  <si>
    <t>LAWTON</t>
  </si>
  <si>
    <t>NICHOLAS</t>
  </si>
  <si>
    <t>BARFIELD</t>
  </si>
  <si>
    <t>ROY</t>
  </si>
  <si>
    <t>WHITING</t>
  </si>
  <si>
    <t>BRANDON</t>
  </si>
  <si>
    <t>HUEY</t>
  </si>
  <si>
    <t>HARRY</t>
  </si>
  <si>
    <t>ARCE</t>
  </si>
  <si>
    <t>BILLY</t>
  </si>
  <si>
    <t>POULIN</t>
  </si>
  <si>
    <t>STEVE</t>
  </si>
  <si>
    <t>MACKENZIE</t>
  </si>
  <si>
    <t>LOUIS</t>
  </si>
  <si>
    <t>LEONE</t>
  </si>
  <si>
    <t>JEREMY</t>
  </si>
  <si>
    <t>HURTADO</t>
  </si>
  <si>
    <t>RANDY</t>
  </si>
  <si>
    <t>GAITHER</t>
  </si>
  <si>
    <t>RUSSELL</t>
  </si>
  <si>
    <t>BRINSON</t>
  </si>
  <si>
    <t>BOBBY</t>
  </si>
  <si>
    <t>BOUDREAU</t>
  </si>
  <si>
    <t>BALES</t>
  </si>
  <si>
    <t>TODD</t>
  </si>
  <si>
    <t>TAN</t>
  </si>
  <si>
    <t>CRAIG</t>
  </si>
  <si>
    <t>MORRELL</t>
  </si>
  <si>
    <t>SHAWN</t>
  </si>
  <si>
    <t>HEATON</t>
  </si>
  <si>
    <t>CLARENCE</t>
  </si>
  <si>
    <t>GAMEZ</t>
  </si>
  <si>
    <t>PHILIP</t>
  </si>
  <si>
    <t>CAUSEY</t>
  </si>
  <si>
    <t>EARL</t>
  </si>
  <si>
    <t>SHANKS</t>
  </si>
  <si>
    <t>JIMMY</t>
  </si>
  <si>
    <t>SCHRADER</t>
  </si>
  <si>
    <t>BRYAN</t>
  </si>
  <si>
    <t>HARDISON</t>
  </si>
  <si>
    <t>MIKE</t>
  </si>
  <si>
    <t>WAY</t>
  </si>
  <si>
    <t>SCROGGINS</t>
  </si>
  <si>
    <t>LEONARD</t>
  </si>
  <si>
    <t>SCHOFIELD</t>
  </si>
  <si>
    <t>NATHAN</t>
  </si>
  <si>
    <t>RUNYON</t>
  </si>
  <si>
    <t>DALE</t>
  </si>
  <si>
    <t>RATCLIFF</t>
  </si>
  <si>
    <t>MANUEL</t>
  </si>
  <si>
    <t>MURRELL</t>
  </si>
  <si>
    <t>CURTIS</t>
  </si>
  <si>
    <t>IRBY</t>
  </si>
  <si>
    <t>JEFFERY</t>
  </si>
  <si>
    <t>PINSON</t>
  </si>
  <si>
    <t>JEFF</t>
  </si>
  <si>
    <t>EAST</t>
  </si>
  <si>
    <t>LEE</t>
  </si>
  <si>
    <t>HAWKS</t>
  </si>
  <si>
    <t>KYLE</t>
  </si>
  <si>
    <t>SPURLOCK</t>
  </si>
  <si>
    <t>MOTLEY</t>
  </si>
  <si>
    <t>EDDIE</t>
  </si>
  <si>
    <t>TOMLIN</t>
  </si>
  <si>
    <t>TROY</t>
  </si>
  <si>
    <t>QUIGLEY</t>
  </si>
  <si>
    <t>BARRY</t>
  </si>
  <si>
    <t>LOVELACE</t>
  </si>
  <si>
    <t>FENNELL</t>
  </si>
  <si>
    <t>MARIO</t>
  </si>
  <si>
    <t>CHEATHAM</t>
  </si>
  <si>
    <t>LEROY</t>
  </si>
  <si>
    <t>BUSTAMANTE</t>
  </si>
  <si>
    <t>MARCUS</t>
  </si>
  <si>
    <t>HIDALGO</t>
  </si>
  <si>
    <t>THEODORE</t>
  </si>
  <si>
    <t>CULP</t>
  </si>
  <si>
    <t>CLIFFORD</t>
  </si>
  <si>
    <t>BOWENS</t>
  </si>
  <si>
    <t>MIGUEL</t>
  </si>
  <si>
    <t>BETANCOURT</t>
  </si>
  <si>
    <t>JIM</t>
  </si>
  <si>
    <t>REA</t>
  </si>
  <si>
    <t>TOM</t>
  </si>
  <si>
    <t>MILNER</t>
  </si>
  <si>
    <t>ALEX</t>
  </si>
  <si>
    <t>GRESHAM</t>
  </si>
  <si>
    <t>BILL</t>
  </si>
  <si>
    <t>GAVIN</t>
  </si>
  <si>
    <t>TOMMY</t>
  </si>
  <si>
    <t>COLLAZO</t>
  </si>
  <si>
    <t>DEREK</t>
  </si>
  <si>
    <t>BLAKELY</t>
  </si>
  <si>
    <t>SHERROD</t>
  </si>
  <si>
    <t>ALVIN</t>
  </si>
  <si>
    <t>DELOACH</t>
  </si>
  <si>
    <t>TIM</t>
  </si>
  <si>
    <t>CARY</t>
  </si>
  <si>
    <t>WESLEY</t>
  </si>
  <si>
    <t>BULL</t>
  </si>
  <si>
    <t>GORDON</t>
  </si>
  <si>
    <t>ALLARD</t>
  </si>
  <si>
    <t>SAUER</t>
  </si>
  <si>
    <t>GREG</t>
  </si>
  <si>
    <t>ROBINS</t>
  </si>
  <si>
    <t>JORGE</t>
  </si>
  <si>
    <t>OLIVARES</t>
  </si>
  <si>
    <t>ZACHARY</t>
  </si>
  <si>
    <t>HITE</t>
  </si>
  <si>
    <t>HERMAN</t>
  </si>
  <si>
    <t>DEVORE</t>
  </si>
  <si>
    <t>MAURICE</t>
  </si>
  <si>
    <t>CRAWLEY</t>
  </si>
  <si>
    <t>ROBERTO</t>
  </si>
  <si>
    <t>VU</t>
  </si>
  <si>
    <t>CLYDE</t>
  </si>
  <si>
    <t>TOBIAS</t>
  </si>
  <si>
    <t>RICK</t>
  </si>
  <si>
    <t>MATTOX</t>
  </si>
  <si>
    <t>RAMON</t>
  </si>
  <si>
    <t>CHOATE</t>
  </si>
  <si>
    <t>SLEDGE</t>
  </si>
  <si>
    <t>GENE</t>
  </si>
  <si>
    <t>SANBORN</t>
  </si>
  <si>
    <t>MARC</t>
  </si>
  <si>
    <t>OUTLAW</t>
  </si>
  <si>
    <t>REGINALD</t>
  </si>
  <si>
    <t>KINDER</t>
  </si>
  <si>
    <t>BRETT</t>
  </si>
  <si>
    <t>CORNWELL</t>
  </si>
  <si>
    <t>ANGEL</t>
  </si>
  <si>
    <t>BARCLAY</t>
  </si>
  <si>
    <t>NATHANIEL</t>
  </si>
  <si>
    <t>ADAM</t>
  </si>
  <si>
    <t>LESLIE</t>
  </si>
  <si>
    <t>SEWARD</t>
  </si>
  <si>
    <t>DUANE</t>
  </si>
  <si>
    <t>TUBBS</t>
  </si>
  <si>
    <t>ANDRE</t>
  </si>
  <si>
    <t>RAPP</t>
  </si>
  <si>
    <t>MITCHELL</t>
  </si>
  <si>
    <t>WESTMORELAND</t>
  </si>
  <si>
    <t>ARNOLD</t>
  </si>
  <si>
    <t>HAVENS</t>
  </si>
  <si>
    <t>KARL</t>
  </si>
  <si>
    <t>SEAL</t>
  </si>
  <si>
    <t>ERIK</t>
  </si>
  <si>
    <t>GUILLEN</t>
  </si>
  <si>
    <t>NEIL</t>
  </si>
  <si>
    <t>RENNER</t>
  </si>
  <si>
    <t>JESSIE</t>
  </si>
  <si>
    <t>MILAM</t>
  </si>
  <si>
    <t>JAVIER</t>
  </si>
  <si>
    <t>ELROD</t>
  </si>
  <si>
    <t>TED</t>
  </si>
  <si>
    <t>BREAUX</t>
  </si>
  <si>
    <t>GUY</t>
  </si>
  <si>
    <t>BROWNLEE</t>
  </si>
  <si>
    <t>JIMMIE</t>
  </si>
  <si>
    <t>EGGLESTON</t>
  </si>
  <si>
    <t>EVERETT</t>
  </si>
  <si>
    <t>BANDA</t>
  </si>
  <si>
    <t>JORDAN</t>
  </si>
  <si>
    <t>ARCHULETA</t>
  </si>
  <si>
    <t>IAN</t>
  </si>
  <si>
    <t>STILL</t>
  </si>
  <si>
    <t>KEN</t>
  </si>
  <si>
    <t>PREWITT</t>
  </si>
  <si>
    <t>JAIME</t>
  </si>
  <si>
    <t>NETTLES</t>
  </si>
  <si>
    <t>CASEY</t>
  </si>
  <si>
    <t>MENA</t>
  </si>
  <si>
    <t>DAVE</t>
  </si>
  <si>
    <t>GARDINER</t>
  </si>
  <si>
    <t>BYRON</t>
  </si>
  <si>
    <t>BOX</t>
  </si>
  <si>
    <t>JULIAN</t>
  </si>
  <si>
    <t>VEST</t>
  </si>
  <si>
    <t>ISAAC</t>
  </si>
  <si>
    <t>OGLESBY</t>
  </si>
  <si>
    <t>MCCARTER</t>
  </si>
  <si>
    <t>CLIFTON</t>
  </si>
  <si>
    <t>MALCOLM</t>
  </si>
  <si>
    <t>DARYL</t>
  </si>
  <si>
    <t>LARUE</t>
  </si>
  <si>
    <t>GREY</t>
  </si>
  <si>
    <t>VIRGIL</t>
  </si>
  <si>
    <t>WOFFORD</t>
  </si>
  <si>
    <t>SALVADOR</t>
  </si>
  <si>
    <t>TEEL</t>
  </si>
  <si>
    <t>OCAMPO</t>
  </si>
  <si>
    <t>HERRMANN</t>
  </si>
  <si>
    <t>KENT</t>
  </si>
  <si>
    <t>ARSENAULT</t>
  </si>
  <si>
    <t>TERRANCE</t>
  </si>
  <si>
    <t>ROUSH</t>
  </si>
  <si>
    <t>EDUARDO</t>
  </si>
  <si>
    <t>HIATT</t>
  </si>
  <si>
    <t>TERRENCE</t>
  </si>
  <si>
    <t>GUNDERSON</t>
  </si>
  <si>
    <t>ENRIQUE</t>
  </si>
  <si>
    <t>FORSYTHE</t>
  </si>
  <si>
    <t>category_name</t>
  </si>
  <si>
    <t>category_revenue</t>
  </si>
  <si>
    <t>total_store_revenue</t>
  </si>
  <si>
    <t>Sports</t>
  </si>
  <si>
    <t>Sci-Fi</t>
  </si>
  <si>
    <t>Animation</t>
  </si>
  <si>
    <t>Drama</t>
  </si>
  <si>
    <t>Comedy</t>
  </si>
  <si>
    <t>Action</t>
  </si>
  <si>
    <t>New</t>
  </si>
  <si>
    <t>Games</t>
  </si>
  <si>
    <t>Foreign</t>
  </si>
  <si>
    <t>Family</t>
  </si>
  <si>
    <t>Documentary</t>
  </si>
  <si>
    <t>Horror</t>
  </si>
  <si>
    <t>Children</t>
  </si>
  <si>
    <t>Classics</t>
  </si>
  <si>
    <t>Travel</t>
  </si>
  <si>
    <t>Music</t>
  </si>
  <si>
    <t>staff_id</t>
  </si>
  <si>
    <t>transaction_count</t>
  </si>
  <si>
    <t>Mike</t>
  </si>
  <si>
    <t>Hillyer</t>
  </si>
  <si>
    <t>total_spent</t>
  </si>
  <si>
    <t>lifetime_value_rank</t>
  </si>
  <si>
    <t>LINDA</t>
  </si>
  <si>
    <t>WILLIAMS</t>
  </si>
  <si>
    <t>MIRIAM</t>
  </si>
  <si>
    <t>MCKINNEY</t>
  </si>
  <si>
    <t>DON</t>
  </si>
  <si>
    <t>BONE</t>
  </si>
  <si>
    <t>KATHRYN</t>
  </si>
  <si>
    <t>COLEMAN</t>
  </si>
  <si>
    <t>MILTON</t>
  </si>
  <si>
    <t>HOWLAND</t>
  </si>
  <si>
    <t>RUTH</t>
  </si>
  <si>
    <t>MARTINEZ</t>
  </si>
  <si>
    <t>ALAN</t>
  </si>
  <si>
    <t>KAHN</t>
  </si>
  <si>
    <t>BEN</t>
  </si>
  <si>
    <t>EASTER</t>
  </si>
  <si>
    <t>JOHNNIE</t>
  </si>
  <si>
    <t>CHISHOLM</t>
  </si>
  <si>
    <t>VALERIE</t>
  </si>
  <si>
    <t>BLACK</t>
  </si>
  <si>
    <t>PAUL</t>
  </si>
  <si>
    <t>TROUT</t>
  </si>
  <si>
    <t>DAWN</t>
  </si>
  <si>
    <t>SULLIVAN</t>
  </si>
  <si>
    <t>ARLENE</t>
  </si>
  <si>
    <t>HARVEY</t>
  </si>
  <si>
    <t>ALFRED</t>
  </si>
  <si>
    <t>CASILLAS</t>
  </si>
  <si>
    <t>CHARLIE</t>
  </si>
  <si>
    <t>BESS</t>
  </si>
  <si>
    <t>BEATRICE</t>
  </si>
  <si>
    <t>HECTOR</t>
  </si>
  <si>
    <t>POINDEXTER</t>
  </si>
  <si>
    <t>STEPHANIE</t>
  </si>
  <si>
    <t>WAUGH</t>
  </si>
  <si>
    <t>THORN</t>
  </si>
  <si>
    <t>SAM</t>
  </si>
  <si>
    <t>MCDUFFIE</t>
  </si>
  <si>
    <t>SWAFFORD</t>
  </si>
  <si>
    <t>FERNANDO</t>
  </si>
  <si>
    <t>CHURCHILL</t>
  </si>
  <si>
    <t>MARLENE</t>
  </si>
  <si>
    <t>WELCH</t>
  </si>
  <si>
    <t>KEVIN</t>
  </si>
  <si>
    <t>SCHULER</t>
  </si>
  <si>
    <t>EDWIN</t>
  </si>
  <si>
    <t>BURK</t>
  </si>
  <si>
    <t>DAVID</t>
  </si>
  <si>
    <t>ROYAL</t>
  </si>
  <si>
    <t>CECIL</t>
  </si>
  <si>
    <t>VINES</t>
  </si>
  <si>
    <t>JESUS</t>
  </si>
  <si>
    <t>MCCARTNEY</t>
  </si>
  <si>
    <t>GRAF</t>
  </si>
  <si>
    <t>MARIE</t>
  </si>
  <si>
    <t>TURNER</t>
  </si>
  <si>
    <t>DOLORES</t>
  </si>
  <si>
    <t>WAGNER</t>
  </si>
  <si>
    <t>LAURA</t>
  </si>
  <si>
    <t>RODRIGUEZ</t>
  </si>
  <si>
    <t>ANDY</t>
  </si>
  <si>
    <t>VANHORN</t>
  </si>
  <si>
    <t>SHELLY</t>
  </si>
  <si>
    <t>WATTS</t>
  </si>
  <si>
    <t>GLEN</t>
  </si>
  <si>
    <t>TALBERT</t>
  </si>
  <si>
    <t>RENE</t>
  </si>
  <si>
    <t>MCALISTER</t>
  </si>
  <si>
    <t>BRENT</t>
  </si>
  <si>
    <t>HARKINS</t>
  </si>
  <si>
    <t>TYRONE</t>
  </si>
  <si>
    <t>ASHER</t>
  </si>
  <si>
    <t>ASHLEY</t>
  </si>
  <si>
    <t>RICHARDSON</t>
  </si>
  <si>
    <t>SETH</t>
  </si>
  <si>
    <t>HANNON</t>
  </si>
  <si>
    <t>LARRY</t>
  </si>
  <si>
    <t>THRASHER</t>
  </si>
  <si>
    <t>CALVIN</t>
  </si>
  <si>
    <t>MARTEL</t>
  </si>
  <si>
    <t>CLAUDE</t>
  </si>
  <si>
    <t>HERZOG</t>
  </si>
  <si>
    <t>CLAUDIA</t>
  </si>
  <si>
    <t>FULLER</t>
  </si>
  <si>
    <t>GABRIEL</t>
  </si>
  <si>
    <t>HARDER</t>
  </si>
  <si>
    <t>MYRTLE</t>
  </si>
  <si>
    <t>FLEMING</t>
  </si>
  <si>
    <t>AARON</t>
  </si>
  <si>
    <t>SELBY</t>
  </si>
  <si>
    <t>TRAVIS</t>
  </si>
  <si>
    <t>ESTEP</t>
  </si>
  <si>
    <t>GEORGIA</t>
  </si>
  <si>
    <t>JACOBS</t>
  </si>
  <si>
    <t>DAN</t>
  </si>
  <si>
    <t>PAINE</t>
  </si>
  <si>
    <t>GAIL</t>
  </si>
  <si>
    <t>KNIGHT</t>
  </si>
  <si>
    <t>KATIE</t>
  </si>
  <si>
    <t>ELLIOTT</t>
  </si>
  <si>
    <t>RICHARD</t>
  </si>
  <si>
    <t>MCCRARY</t>
  </si>
  <si>
    <t>LEON</t>
  </si>
  <si>
    <t>BOSTIC</t>
  </si>
  <si>
    <t>WALLACE</t>
  </si>
  <si>
    <t>SLONE</t>
  </si>
  <si>
    <t>JOSEPHINE</t>
  </si>
  <si>
    <t>GOMEZ</t>
  </si>
  <si>
    <t>FRANCES</t>
  </si>
  <si>
    <t>PARKER</t>
  </si>
  <si>
    <t>DARREN</t>
  </si>
  <si>
    <t>WINDHAM</t>
  </si>
  <si>
    <t>VICKI</t>
  </si>
  <si>
    <t>FIELDS</t>
  </si>
  <si>
    <t>SIDNEY</t>
  </si>
  <si>
    <t>BURLESON</t>
  </si>
  <si>
    <t>SERGIO</t>
  </si>
  <si>
    <t>STANFIELD</t>
  </si>
  <si>
    <t>MARIAN</t>
  </si>
  <si>
    <t>MENDOZA</t>
  </si>
  <si>
    <t>DORA</t>
  </si>
  <si>
    <t>MEDINA</t>
  </si>
  <si>
    <t>ELAINE</t>
  </si>
  <si>
    <t>STEVENS</t>
  </si>
  <si>
    <t>MAX</t>
  </si>
  <si>
    <t>PITT</t>
  </si>
  <si>
    <t>EDNA</t>
  </si>
  <si>
    <t>WEST</t>
  </si>
  <si>
    <t>DEANNA</t>
  </si>
  <si>
    <t>BYRD</t>
  </si>
  <si>
    <t>PETER</t>
  </si>
  <si>
    <t>MENARD</t>
  </si>
  <si>
    <t>CARL</t>
  </si>
  <si>
    <t>ARTIS</t>
  </si>
  <si>
    <t>CARLOS</t>
  </si>
  <si>
    <t>COUGHLIN</t>
  </si>
  <si>
    <t>LISA</t>
  </si>
  <si>
    <t>ANDERSON</t>
  </si>
  <si>
    <t>LILLIAN</t>
  </si>
  <si>
    <t>GRIFFIN</t>
  </si>
  <si>
    <t>FREDERICK</t>
  </si>
  <si>
    <t>ISBELL</t>
  </si>
  <si>
    <t>DANIELLE</t>
  </si>
  <si>
    <t>DANIELS</t>
  </si>
  <si>
    <t>GRIGSBY</t>
  </si>
  <si>
    <t>VINCENT</t>
  </si>
  <si>
    <t>RALSTON</t>
  </si>
  <si>
    <t>BRAD</t>
  </si>
  <si>
    <t>MCCURDY</t>
  </si>
  <si>
    <t>STELLA</t>
  </si>
  <si>
    <t>MORENO</t>
  </si>
  <si>
    <t>RODNEY</t>
  </si>
  <si>
    <t>MOELLER</t>
  </si>
  <si>
    <t>LEO</t>
  </si>
  <si>
    <t>EBERT</t>
  </si>
  <si>
    <t>LEAH</t>
  </si>
  <si>
    <t>BRENDA</t>
  </si>
  <si>
    <t>WRIGHT</t>
  </si>
  <si>
    <t>RINEHART</t>
  </si>
  <si>
    <t>FRANCIS</t>
  </si>
  <si>
    <t>SIKES</t>
  </si>
  <si>
    <t>HOWARD</t>
  </si>
  <si>
    <t>BRUCE</t>
  </si>
  <si>
    <t>SCHWARZ</t>
  </si>
  <si>
    <t>RON</t>
  </si>
  <si>
    <t>DELUCA</t>
  </si>
  <si>
    <t>PEDRO</t>
  </si>
  <si>
    <t>CHESTNUT</t>
  </si>
  <si>
    <t>BETH</t>
  </si>
  <si>
    <t>FRANKLIN</t>
  </si>
  <si>
    <t>GARY</t>
  </si>
  <si>
    <t>COY</t>
  </si>
  <si>
    <t>CLINTON</t>
  </si>
  <si>
    <t>BUFORD</t>
  </si>
  <si>
    <t>KNOTT</t>
  </si>
  <si>
    <t>CARLA</t>
  </si>
  <si>
    <t>GUTIERREZ</t>
  </si>
  <si>
    <t>ROBIN</t>
  </si>
  <si>
    <t>HAYES</t>
  </si>
  <si>
    <t>MICHEAL</t>
  </si>
  <si>
    <t>FORMAN</t>
  </si>
  <si>
    <t>GOOCH</t>
  </si>
  <si>
    <t>COREY</t>
  </si>
  <si>
    <t>HAUSER</t>
  </si>
  <si>
    <t>DWAYNE</t>
  </si>
  <si>
    <t>OLVERA</t>
  </si>
  <si>
    <t>LOUISE</t>
  </si>
  <si>
    <t>JENKINS</t>
  </si>
  <si>
    <t>BERTHA</t>
  </si>
  <si>
    <t>FERGUSON</t>
  </si>
  <si>
    <t>WILLIE</t>
  </si>
  <si>
    <t>MARKHAM</t>
  </si>
  <si>
    <t>HOWELL</t>
  </si>
  <si>
    <t>ERIKA</t>
  </si>
  <si>
    <t>PENA</t>
  </si>
  <si>
    <t>PHILLIP</t>
  </si>
  <si>
    <t>HOLM</t>
  </si>
  <si>
    <t>JESSE</t>
  </si>
  <si>
    <t>SCHILLING</t>
  </si>
  <si>
    <t>RAUL</t>
  </si>
  <si>
    <t>FORTIER</t>
  </si>
  <si>
    <t>DORIS</t>
  </si>
  <si>
    <t>REED</t>
  </si>
  <si>
    <t>CONNIE</t>
  </si>
  <si>
    <t>SHANNON</t>
  </si>
  <si>
    <t>FREEMAN</t>
  </si>
  <si>
    <t>RONNIE</t>
  </si>
  <si>
    <t>RICKETTS</t>
  </si>
  <si>
    <t>WILLIAM</t>
  </si>
  <si>
    <t>SATTERFIELD</t>
  </si>
  <si>
    <t>DUSTIN</t>
  </si>
  <si>
    <t>GILLETTE</t>
  </si>
  <si>
    <t>OSCAR</t>
  </si>
  <si>
    <t>AQUINO</t>
  </si>
  <si>
    <t>RICARDO</t>
  </si>
  <si>
    <t>MEADOR</t>
  </si>
  <si>
    <t>TORRES</t>
  </si>
  <si>
    <t>LAURIE</t>
  </si>
  <si>
    <t>ALBERT</t>
  </si>
  <si>
    <t>CROUSE</t>
  </si>
  <si>
    <t>RANDALL</t>
  </si>
  <si>
    <t>NEUMANN</t>
  </si>
  <si>
    <t>KURT</t>
  </si>
  <si>
    <t>EMMONS</t>
  </si>
  <si>
    <t>CHRISTINE</t>
  </si>
  <si>
    <t>ROBERTS</t>
  </si>
  <si>
    <t>CHESTER</t>
  </si>
  <si>
    <t>BENNER</t>
  </si>
  <si>
    <t>DOROTHY</t>
  </si>
  <si>
    <t>TAYLOR</t>
  </si>
  <si>
    <t>FREDDIE</t>
  </si>
  <si>
    <t>DUGGAN</t>
  </si>
  <si>
    <t>IVAN</t>
  </si>
  <si>
    <t>CROMWELL</t>
  </si>
  <si>
    <t>KAY</t>
  </si>
  <si>
    <t>CALDWELL</t>
  </si>
  <si>
    <t>DONNA</t>
  </si>
  <si>
    <t>THOMPSON</t>
  </si>
  <si>
    <t>FRANCISCO</t>
  </si>
  <si>
    <t>SKIDMORE</t>
  </si>
  <si>
    <t>CODY</t>
  </si>
  <si>
    <t>NOLEN</t>
  </si>
  <si>
    <t>STACY</t>
  </si>
  <si>
    <t>CUNNINGHAM</t>
  </si>
  <si>
    <t>AGNES</t>
  </si>
  <si>
    <t>BISHOP</t>
  </si>
  <si>
    <t>ANNETTE</t>
  </si>
  <si>
    <t>OLSON</t>
  </si>
  <si>
    <t>MILDRED</t>
  </si>
  <si>
    <t>BAILEY</t>
  </si>
  <si>
    <t>GWENDOLYN</t>
  </si>
  <si>
    <t>MAY</t>
  </si>
  <si>
    <t>ELMER</t>
  </si>
  <si>
    <t>NOE</t>
  </si>
  <si>
    <t>DANIEL</t>
  </si>
  <si>
    <t>CABRAL</t>
  </si>
  <si>
    <t>RAFAEL</t>
  </si>
  <si>
    <t>ABNEY</t>
  </si>
  <si>
    <t>BEVERLY</t>
  </si>
  <si>
    <t>BROOKS</t>
  </si>
  <si>
    <t>CARMEN</t>
  </si>
  <si>
    <t>OWENS</t>
  </si>
  <si>
    <t>RENEE</t>
  </si>
  <si>
    <t>LANE</t>
  </si>
  <si>
    <t>MELVIN</t>
  </si>
  <si>
    <t>ELLINGTON</t>
  </si>
  <si>
    <t>WILLARD</t>
  </si>
  <si>
    <t>LUMPKIN</t>
  </si>
  <si>
    <t>PEGGY</t>
  </si>
  <si>
    <t>MYERS</t>
  </si>
  <si>
    <t>JUDY</t>
  </si>
  <si>
    <t>GRAY</t>
  </si>
  <si>
    <t>JOSE</t>
  </si>
  <si>
    <t>CLAYTON</t>
  </si>
  <si>
    <t>BARBEE</t>
  </si>
  <si>
    <t>ERICA</t>
  </si>
  <si>
    <t>MATTHEWS</t>
  </si>
  <si>
    <t>DERRICK</t>
  </si>
  <si>
    <t>BOURQUE</t>
  </si>
  <si>
    <t>SHANE</t>
  </si>
  <si>
    <t>MILLARD</t>
  </si>
  <si>
    <t>PAMELA</t>
  </si>
  <si>
    <t>BAKER</t>
  </si>
  <si>
    <t>NATALIE</t>
  </si>
  <si>
    <t>MEYER</t>
  </si>
  <si>
    <t>TONI</t>
  </si>
  <si>
    <t>HOLT</t>
  </si>
  <si>
    <t>BENJAMIN</t>
  </si>
  <si>
    <t>VARNEY</t>
  </si>
  <si>
    <t>JOEL</t>
  </si>
  <si>
    <t>KIMBERLY</t>
  </si>
  <si>
    <t>CONSTANCE</t>
  </si>
  <si>
    <t>REID</t>
  </si>
  <si>
    <t>EDGAR</t>
  </si>
  <si>
    <t>RHOADS</t>
  </si>
  <si>
    <t>LONNIE</t>
  </si>
  <si>
    <t>TIRADO</t>
  </si>
  <si>
    <t>NELLIE</t>
  </si>
  <si>
    <t>GARRETT</t>
  </si>
  <si>
    <t>NICOLE</t>
  </si>
  <si>
    <t>PETERSON</t>
  </si>
  <si>
    <t>EMMA</t>
  </si>
  <si>
    <t>BOYD</t>
  </si>
  <si>
    <t>SUZANNE</t>
  </si>
  <si>
    <t>NICHOLS</t>
  </si>
  <si>
    <t>SCOTT</t>
  </si>
  <si>
    <t>SHELLEY</t>
  </si>
  <si>
    <t>APRIL</t>
  </si>
  <si>
    <t>BURNS</t>
  </si>
  <si>
    <t>ANDREA</t>
  </si>
  <si>
    <t>HENDERSON</t>
  </si>
  <si>
    <t>LORETTA</t>
  </si>
  <si>
    <t>CARPENTER</t>
  </si>
  <si>
    <t>GUAJARDO</t>
  </si>
  <si>
    <t>GLENN</t>
  </si>
  <si>
    <t>PULLEN</t>
  </si>
  <si>
    <t>CHARLOTTE</t>
  </si>
  <si>
    <t>HUNTER</t>
  </si>
  <si>
    <t>TAMARA</t>
  </si>
  <si>
    <t>NGUYEN</t>
  </si>
  <si>
    <t>JACKIE</t>
  </si>
  <si>
    <t>LYNCH</t>
  </si>
  <si>
    <t>FORTNER</t>
  </si>
  <si>
    <t>YVONNE</t>
  </si>
  <si>
    <t>WATKINS</t>
  </si>
  <si>
    <t>BAUGHMAN</t>
  </si>
  <si>
    <t>SUSAN</t>
  </si>
  <si>
    <t>WILSON</t>
  </si>
  <si>
    <t>RITA</t>
  </si>
  <si>
    <t>GRAHAM</t>
  </si>
  <si>
    <t>MELANIE</t>
  </si>
  <si>
    <t>ARMSTRONG</t>
  </si>
  <si>
    <t>WILMA</t>
  </si>
  <si>
    <t>RICHARDS</t>
  </si>
  <si>
    <t>ANNA</t>
  </si>
  <si>
    <t>HILL</t>
  </si>
  <si>
    <t>DELORES</t>
  </si>
  <si>
    <t>HANSEN</t>
  </si>
  <si>
    <t>DANNY</t>
  </si>
  <si>
    <t>ISOM</t>
  </si>
  <si>
    <t>CAROL</t>
  </si>
  <si>
    <t>GARCIA</t>
  </si>
  <si>
    <t>TIMOTHY</t>
  </si>
  <si>
    <t>BUNN</t>
  </si>
  <si>
    <t>PHYLLIS</t>
  </si>
  <si>
    <t>FOSTER</t>
  </si>
  <si>
    <t>SEAN</t>
  </si>
  <si>
    <t>DOUGLASS</t>
  </si>
  <si>
    <t>EMILY</t>
  </si>
  <si>
    <t>DIAZ</t>
  </si>
  <si>
    <t>VICTOR</t>
  </si>
  <si>
    <t>BARKLEY</t>
  </si>
  <si>
    <t>BOB</t>
  </si>
  <si>
    <t>PFEIFFER</t>
  </si>
  <si>
    <t>RICKY</t>
  </si>
  <si>
    <t>SHELBY</t>
  </si>
  <si>
    <t>DARRELL</t>
  </si>
  <si>
    <t>POWER</t>
  </si>
  <si>
    <t>LUCY</t>
  </si>
  <si>
    <t>WHEELER</t>
  </si>
  <si>
    <t>BANKS</t>
  </si>
  <si>
    <t>HUGH</t>
  </si>
  <si>
    <t>WALDROP</t>
  </si>
  <si>
    <t>MATHEW</t>
  </si>
  <si>
    <t>BOLIN</t>
  </si>
  <si>
    <t>VIVIAN</t>
  </si>
  <si>
    <t>RUIZ</t>
  </si>
  <si>
    <t>JEFFREY</t>
  </si>
  <si>
    <t>SPEAR</t>
  </si>
  <si>
    <t>RUBEN</t>
  </si>
  <si>
    <t>GEARY</t>
  </si>
  <si>
    <t>JULIO</t>
  </si>
  <si>
    <t>NOLAND</t>
  </si>
  <si>
    <t>MARGARET</t>
  </si>
  <si>
    <t>MOORE</t>
  </si>
  <si>
    <t>LILLIE</t>
  </si>
  <si>
    <t>KIM</t>
  </si>
  <si>
    <t>DONALD</t>
  </si>
  <si>
    <t>MAHON</t>
  </si>
  <si>
    <t>REBECCA</t>
  </si>
  <si>
    <t>JACK</t>
  </si>
  <si>
    <t>FOUST</t>
  </si>
  <si>
    <t>ERNEST</t>
  </si>
  <si>
    <t>STEPP</t>
  </si>
  <si>
    <t>CHAD</t>
  </si>
  <si>
    <t>CARBONE</t>
  </si>
  <si>
    <t>KEITH</t>
  </si>
  <si>
    <t>RICO</t>
  </si>
  <si>
    <t>JAY</t>
  </si>
  <si>
    <t>ROBB</t>
  </si>
  <si>
    <t>VERNON</t>
  </si>
  <si>
    <t>CHAPA</t>
  </si>
  <si>
    <t>TARA</t>
  </si>
  <si>
    <t>TYLER</t>
  </si>
  <si>
    <t>WREN</t>
  </si>
  <si>
    <t>BERNARD</t>
  </si>
  <si>
    <t>COLBY</t>
  </si>
  <si>
    <t>CHRISTIAN</t>
  </si>
  <si>
    <t>JUNG</t>
  </si>
  <si>
    <t>FRED</t>
  </si>
  <si>
    <t>WHEAT</t>
  </si>
  <si>
    <t>BILLIE</t>
  </si>
  <si>
    <t>HORTON</t>
  </si>
  <si>
    <t>KRISTEN</t>
  </si>
  <si>
    <t>CHAVEZ</t>
  </si>
  <si>
    <t>JARED</t>
  </si>
  <si>
    <t>ELY</t>
  </si>
  <si>
    <t>BONNIE</t>
  </si>
  <si>
    <t>HUGHES</t>
  </si>
  <si>
    <t>MAUREEN</t>
  </si>
  <si>
    <t>LITTLE</t>
  </si>
  <si>
    <t>ANNE</t>
  </si>
  <si>
    <t>POWELL</t>
  </si>
  <si>
    <t>COLLEEN</t>
  </si>
  <si>
    <t>BURTON</t>
  </si>
  <si>
    <t>JON</t>
  </si>
  <si>
    <t>WILES</t>
  </si>
  <si>
    <t>VANESSA</t>
  </si>
  <si>
    <t>SIMS</t>
  </si>
  <si>
    <t>LYMAN</t>
  </si>
  <si>
    <t>LORRAINE</t>
  </si>
  <si>
    <t>STEPHENS</t>
  </si>
  <si>
    <t>ALFREDO</t>
  </si>
  <si>
    <t>MCADAMS</t>
  </si>
  <si>
    <t>BUTTERFIELD</t>
  </si>
  <si>
    <t>KENNETH</t>
  </si>
  <si>
    <t>GOODEN</t>
  </si>
  <si>
    <t>RACHEL</t>
  </si>
  <si>
    <t>BARNES</t>
  </si>
  <si>
    <t>CHRIS</t>
  </si>
  <si>
    <t>BROTHERS</t>
  </si>
  <si>
    <t>JOAN</t>
  </si>
  <si>
    <t>COOPER</t>
  </si>
  <si>
    <t>ROBERTA</t>
  </si>
  <si>
    <t>HARPER</t>
  </si>
  <si>
    <t>EVA</t>
  </si>
  <si>
    <t>RAMOS</t>
  </si>
  <si>
    <t>CINTRON</t>
  </si>
  <si>
    <t>ALICIA</t>
  </si>
  <si>
    <t>MILLS</t>
  </si>
  <si>
    <t>ARMANDO</t>
  </si>
  <si>
    <t>GRUBER</t>
  </si>
  <si>
    <t>DELVALLE</t>
  </si>
  <si>
    <t>CRUZ</t>
  </si>
  <si>
    <t>LANCE</t>
  </si>
  <si>
    <t>PEMBERTON</t>
  </si>
  <si>
    <t>LYDIA</t>
  </si>
  <si>
    <t>BURKE</t>
  </si>
  <si>
    <t>BARBARA</t>
  </si>
  <si>
    <t>JONES</t>
  </si>
  <si>
    <t>CORY</t>
  </si>
  <si>
    <t>MEEHAN</t>
  </si>
  <si>
    <t>MELINDA</t>
  </si>
  <si>
    <t>FERNANDEZ</t>
  </si>
  <si>
    <t>CHRISTINA</t>
  </si>
  <si>
    <t>RAMIREZ</t>
  </si>
  <si>
    <t>EILEEN</t>
  </si>
  <si>
    <t>CARR</t>
  </si>
  <si>
    <t>SAMUEL</t>
  </si>
  <si>
    <t>MARLOW</t>
  </si>
  <si>
    <t>ROLAND</t>
  </si>
  <si>
    <t>SOUTH</t>
  </si>
  <si>
    <t>BOBBIE</t>
  </si>
  <si>
    <t>NORMAN</t>
  </si>
  <si>
    <t>CURRIER</t>
  </si>
  <si>
    <t>ALLAN</t>
  </si>
  <si>
    <t>CORNISH</t>
  </si>
  <si>
    <t>LUIS</t>
  </si>
  <si>
    <t>YANEZ</t>
  </si>
  <si>
    <t>NORMA</t>
  </si>
  <si>
    <t>GONZALES</t>
  </si>
  <si>
    <t>JACOB</t>
  </si>
  <si>
    <t>HOULE</t>
  </si>
  <si>
    <t>ANTONIO</t>
  </si>
  <si>
    <t>MEEK</t>
  </si>
  <si>
    <t>HERBERT</t>
  </si>
  <si>
    <t>KRUGER</t>
  </si>
  <si>
    <t>MAULDIN</t>
  </si>
  <si>
    <t>PAULA</t>
  </si>
  <si>
    <t>BRYANT</t>
  </si>
  <si>
    <t>CHRISTENSON</t>
  </si>
  <si>
    <t>IRENE</t>
  </si>
  <si>
    <t>PRICE</t>
  </si>
  <si>
    <t>ANN</t>
  </si>
  <si>
    <t>EVANS</t>
  </si>
  <si>
    <t>PEARL</t>
  </si>
  <si>
    <t>GARZA</t>
  </si>
  <si>
    <t>IDA</t>
  </si>
  <si>
    <t>ANDREWS</t>
  </si>
  <si>
    <t>DARRYL</t>
  </si>
  <si>
    <t>ASHCRAFT</t>
  </si>
  <si>
    <t>MARVIN</t>
  </si>
  <si>
    <t>YEE</t>
  </si>
  <si>
    <t>DWIGHT</t>
  </si>
  <si>
    <t>LOMBARDI</t>
  </si>
  <si>
    <t>ADRIAN</t>
  </si>
  <si>
    <t>CLARY</t>
  </si>
  <si>
    <t>JEANETTE</t>
  </si>
  <si>
    <t>GREENE</t>
  </si>
  <si>
    <t>TROUTMAN</t>
  </si>
  <si>
    <t>JEROME</t>
  </si>
  <si>
    <t>KENYON</t>
  </si>
  <si>
    <t>SHEILA</t>
  </si>
  <si>
    <t>WELLS</t>
  </si>
  <si>
    <t>BILLINGSLEY</t>
  </si>
  <si>
    <t>JO</t>
  </si>
  <si>
    <t>FOWLER</t>
  </si>
  <si>
    <t>TONY</t>
  </si>
  <si>
    <t>CARRANZA</t>
  </si>
  <si>
    <t>JUAN</t>
  </si>
  <si>
    <t>FRALEY</t>
  </si>
  <si>
    <t>FELIX</t>
  </si>
  <si>
    <t>GAFFNEY</t>
  </si>
  <si>
    <t>JONATHAN</t>
  </si>
  <si>
    <t>SCARBOROUGH</t>
  </si>
  <si>
    <t>GRISSOM</t>
  </si>
  <si>
    <t>EDITH</t>
  </si>
  <si>
    <t>MCDONALD</t>
  </si>
  <si>
    <t>EUGENE</t>
  </si>
  <si>
    <t>CULPEPPER</t>
  </si>
  <si>
    <t>LAUREN</t>
  </si>
  <si>
    <t>HUDSON</t>
  </si>
  <si>
    <t>ANTHONY</t>
  </si>
  <si>
    <t>SCHWAB</t>
  </si>
  <si>
    <t>SAMANTHA</t>
  </si>
  <si>
    <t>DUNCAN</t>
  </si>
  <si>
    <t>IRMA</t>
  </si>
  <si>
    <t>PEARSON</t>
  </si>
  <si>
    <t>WAYNE</t>
  </si>
  <si>
    <t>TRUONG</t>
  </si>
  <si>
    <t>FLOYD</t>
  </si>
  <si>
    <t>GANDY</t>
  </si>
  <si>
    <t>PENNY</t>
  </si>
  <si>
    <t>NEAL</t>
  </si>
  <si>
    <t>JILL</t>
  </si>
  <si>
    <t>HAWKINS</t>
  </si>
  <si>
    <t>VERA</t>
  </si>
  <si>
    <t>MCCOY</t>
  </si>
  <si>
    <t>JOANN</t>
  </si>
  <si>
    <t>GARDNER</t>
  </si>
  <si>
    <t>LLOYD</t>
  </si>
  <si>
    <t>DOWD</t>
  </si>
  <si>
    <t>ALBERTO</t>
  </si>
  <si>
    <t>HENNING</t>
  </si>
  <si>
    <t>LESTER</t>
  </si>
  <si>
    <t>KRAUS</t>
  </si>
  <si>
    <t>KIRK</t>
  </si>
  <si>
    <t>STCLAIR</t>
  </si>
  <si>
    <t>MATTIE</t>
  </si>
  <si>
    <t>HOFFMAN</t>
  </si>
  <si>
    <t>ANITA</t>
  </si>
  <si>
    <t>MORALES</t>
  </si>
  <si>
    <t>TIFFANY</t>
  </si>
  <si>
    <t>KATHERINE</t>
  </si>
  <si>
    <t>RIVERA</t>
  </si>
  <si>
    <t>ANNIE</t>
  </si>
  <si>
    <t>JOHNNY</t>
  </si>
  <si>
    <t>TURPIN</t>
  </si>
  <si>
    <t>BRIAN</t>
  </si>
  <si>
    <t>WYMAN</t>
  </si>
  <si>
    <t>LEONA</t>
  </si>
  <si>
    <t>OBRIEN</t>
  </si>
  <si>
    <t>CAROLINE</t>
  </si>
  <si>
    <t>BOWMAN</t>
  </si>
  <si>
    <t>Above-Average Customers</t>
  </si>
  <si>
    <t>Highest Customer Spend</t>
  </si>
  <si>
    <t>Average Rental Count</t>
  </si>
  <si>
    <t>Highest Rental Count</t>
  </si>
  <si>
    <t>Never Rented Films</t>
  </si>
  <si>
    <t>Customers Above Store Average</t>
  </si>
  <si>
    <t>Grand Total</t>
  </si>
  <si>
    <t>Row Labels</t>
  </si>
  <si>
    <t>Number of Customers</t>
  </si>
  <si>
    <t>Total Store Revenue</t>
  </si>
  <si>
    <t>Top Revenue Category</t>
  </si>
  <si>
    <t>Highest Staff Transactions</t>
  </si>
  <si>
    <t>Staff Member</t>
  </si>
  <si>
    <t>Highest Customer Lifetime Value</t>
  </si>
  <si>
    <t>Top Customer</t>
  </si>
  <si>
    <t>MOVIE RENTAL BUSINESS ANALYSIS DASHBOARD</t>
  </si>
  <si>
    <t>Total Rentals</t>
  </si>
  <si>
    <t>Total Revenue</t>
  </si>
  <si>
    <t>Avg Customer Spend</t>
  </si>
  <si>
    <t>revenue_contribution (%)</t>
  </si>
  <si>
    <t>cumulative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</si>
</sst>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.0"/>
    <numFmt numFmtId="165" formatCode="_-[$$-409]* #,##0.00_ ;_-[$$-409]* \-#,##0.00\ ;_-[$$-409]* &quot;-&quot;??_ ;_-@_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74996185186315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4" xfId="0" applyFill="1" applyBorder="1"/>
    <xf numFmtId="164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0" fontId="2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3">
    <dxf>
      <numFmt numFmtId="165" formatCode="_-[$$-409]* #,##0.00_ ;_-[$$-409]* \-#,##0.00\ ;_-[$$-409]* &quot;-&quot;??_ ;_-@_ "/>
    </dxf>
    <dxf>
      <numFmt numFmtId="164" formatCode="0.0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Payment By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Q1_Above_Average!$D$1</c:f>
              <c:strCache>
                <c:ptCount val="1"/>
                <c:pt idx="0">
                  <c:v> total_payment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Q1_Above_Average!$B$2:$C$11</c15:sqref>
                  </c15:fullRef>
                  <c15:levelRef>
                    <c15:sqref>Q1_Above_Average!$B$2:$B$11</c15:sqref>
                  </c15:levelRef>
                </c:ext>
              </c:extLst>
              <c:f>Q1_Above_Average!$B$2:$B$11</c:f>
              <c:strCache>
                <c:ptCount val="10"/>
                <c:pt idx="0">
                  <c:v>KARL</c:v>
                </c:pt>
                <c:pt idx="1">
                  <c:v>ELEANOR</c:v>
                </c:pt>
                <c:pt idx="2">
                  <c:v>CLARA</c:v>
                </c:pt>
                <c:pt idx="3">
                  <c:v>RHONDA</c:v>
                </c:pt>
                <c:pt idx="4">
                  <c:v>MARION</c:v>
                </c:pt>
                <c:pt idx="5">
                  <c:v>TOMMY</c:v>
                </c:pt>
                <c:pt idx="6">
                  <c:v>WESLEY</c:v>
                </c:pt>
                <c:pt idx="7">
                  <c:v>TIM</c:v>
                </c:pt>
                <c:pt idx="8">
                  <c:v>MARCIA</c:v>
                </c:pt>
                <c:pt idx="9">
                  <c:v>ANA</c:v>
                </c:pt>
              </c:strCache>
            </c:strRef>
          </c:cat>
          <c:val>
            <c:numRef>
              <c:f>Q1_Above_Average!$D$2:$D$11</c:f>
              <c:numCache>
                <c:formatCode>_-[$$-409]* #,##0.00_ ;_-[$$-409]* \-#,##0.00\ ;_-[$$-409]* "-"??_ ;_-@_ </c:formatCode>
                <c:ptCount val="1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1-4049-B207-A6AF1BDE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639247"/>
        <c:axId val="668836367"/>
      </c:barChart>
      <c:catAx>
        <c:axId val="150463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6367"/>
        <c:crosses val="autoZero"/>
        <c:auto val="1"/>
        <c:lblAlgn val="ctr"/>
        <c:lblOffset val="100"/>
        <c:noMultiLvlLbl val="0"/>
      </c:catAx>
      <c:valAx>
        <c:axId val="66883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3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Most Rented Films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Q2_Top_Films!$A$2:$A$11</c:f>
              <c:strCache>
                <c:ptCount val="10"/>
                <c:pt idx="0">
                  <c:v>BUCKET BROTHERHOOD</c:v>
                </c:pt>
                <c:pt idx="1">
                  <c:v>ROCKETEER MOTHER</c:v>
                </c:pt>
                <c:pt idx="2">
                  <c:v>RIDGEMONT SUBMARINE</c:v>
                </c:pt>
                <c:pt idx="3">
                  <c:v>GRIT CLOCKWORK</c:v>
                </c:pt>
                <c:pt idx="4">
                  <c:v>SCALAWAG DUCK</c:v>
                </c:pt>
                <c:pt idx="5">
                  <c:v>JUGGLER HARDLY</c:v>
                </c:pt>
                <c:pt idx="6">
                  <c:v>FORWARD TEMPLE</c:v>
                </c:pt>
                <c:pt idx="7">
                  <c:v>HOBBIT ALIEN</c:v>
                </c:pt>
                <c:pt idx="8">
                  <c:v>ROBBERS JOON</c:v>
                </c:pt>
                <c:pt idx="9">
                  <c:v>ZORRO ARK</c:v>
                </c:pt>
              </c:strCache>
            </c:strRef>
          </c:cat>
          <c:val>
            <c:numRef>
              <c:f>Q2_Top_Films!$B$2:$B$11</c:f>
              <c:numCache>
                <c:formatCode>General</c:formatCode>
                <c:ptCount val="10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53A-BE02-69D3B6CB9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077103"/>
        <c:axId val="1505224975"/>
      </c:barChart>
      <c:catAx>
        <c:axId val="114907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24975"/>
        <c:crosses val="autoZero"/>
        <c:auto val="1"/>
        <c:lblAlgn val="ctr"/>
        <c:lblOffset val="100"/>
        <c:noMultiLvlLbl val="0"/>
      </c:catAx>
      <c:valAx>
        <c:axId val="150522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7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[Movie_Rental_Business_Analysis.xlsx]Q4_Store_Average!PivotTable5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Customers by Store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Q4_Store_Average!$H$5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Q4_Store_Average!$G$6:$G$8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Q4_Store_Average!$H$6:$H$8</c:f>
              <c:numCache>
                <c:formatCode>General</c:formatCode>
                <c:ptCount val="2"/>
                <c:pt idx="0">
                  <c:v>162</c:v>
                </c:pt>
                <c:pt idx="1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1-465C-9ED6-BF157F558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632287"/>
        <c:axId val="1505155855"/>
      </c:barChart>
      <c:catAx>
        <c:axId val="150463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55855"/>
        <c:crosses val="autoZero"/>
        <c:auto val="1"/>
        <c:lblAlgn val="ctr"/>
        <c:lblOffset val="100"/>
        <c:noMultiLvlLbl val="0"/>
      </c:catAx>
      <c:valAx>
        <c:axId val="15051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3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Contribution by Category — Pareto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Q5_Category_Revenue!$B$1</c:f>
              <c:strCache>
                <c:ptCount val="1"/>
                <c:pt idx="0">
                  <c:v>category_revenue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Q5_Category_Revenue!$A$2:$A$17</c:f>
              <c:strCache>
                <c:ptCount val="16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  <c:pt idx="5">
                  <c:v>Action</c:v>
                </c:pt>
                <c:pt idx="6">
                  <c:v>New</c:v>
                </c:pt>
                <c:pt idx="7">
                  <c:v>Games</c:v>
                </c:pt>
                <c:pt idx="8">
                  <c:v>Foreign</c:v>
                </c:pt>
                <c:pt idx="9">
                  <c:v>Family</c:v>
                </c:pt>
                <c:pt idx="10">
                  <c:v>Documentary</c:v>
                </c:pt>
                <c:pt idx="11">
                  <c:v>Horror</c:v>
                </c:pt>
                <c:pt idx="12">
                  <c:v>Children</c:v>
                </c:pt>
                <c:pt idx="13">
                  <c:v>Classics</c:v>
                </c:pt>
                <c:pt idx="14">
                  <c:v>Travel</c:v>
                </c:pt>
                <c:pt idx="15">
                  <c:v>Music</c:v>
                </c:pt>
              </c:strCache>
            </c:strRef>
          </c:cat>
          <c:val>
            <c:numRef>
              <c:f>Q5_Category_Revenue!$B$2:$B$17</c:f>
              <c:numCache>
                <c:formatCode>General</c:formatCode>
                <c:ptCount val="16"/>
                <c:pt idx="0">
                  <c:v>5314.21</c:v>
                </c:pt>
                <c:pt idx="1">
                  <c:v>4756.9799999999996</c:v>
                </c:pt>
                <c:pt idx="2">
                  <c:v>4656.3</c:v>
                </c:pt>
                <c:pt idx="3">
                  <c:v>4587.3900000000003</c:v>
                </c:pt>
                <c:pt idx="4">
                  <c:v>4383.58</c:v>
                </c:pt>
                <c:pt idx="5">
                  <c:v>4375.8500000000004</c:v>
                </c:pt>
                <c:pt idx="6">
                  <c:v>4351.62</c:v>
                </c:pt>
                <c:pt idx="7">
                  <c:v>4281.33</c:v>
                </c:pt>
                <c:pt idx="8">
                  <c:v>4270.67</c:v>
                </c:pt>
                <c:pt idx="9">
                  <c:v>4226.07</c:v>
                </c:pt>
                <c:pt idx="10">
                  <c:v>4217.5200000000004</c:v>
                </c:pt>
                <c:pt idx="11">
                  <c:v>3722.54</c:v>
                </c:pt>
                <c:pt idx="12">
                  <c:v>3655.55</c:v>
                </c:pt>
                <c:pt idx="13">
                  <c:v>3639.59</c:v>
                </c:pt>
                <c:pt idx="14">
                  <c:v>3549.64</c:v>
                </c:pt>
                <c:pt idx="15">
                  <c:v>3417.72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E-4E78-83A3-D71BB8FD6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00287"/>
        <c:axId val="657171823"/>
      </c:barChart>
      <c:lineChart>
        <c:grouping val="standard"/>
        <c:varyColors val="0"/>
        <c:ser>
          <c:idx val="1"/>
          <c:order val="1"/>
          <c:tx>
            <c:strRef>
              <c:f>Q5_Category_Revenue!$E$1</c:f>
              <c:strCache>
                <c:ptCount val="1"/>
                <c:pt idx="0">
                  <c:v>cumulative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Q5_Category_Revenue!$A$2:$A$17</c:f>
              <c:strCache>
                <c:ptCount val="16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  <c:pt idx="5">
                  <c:v>Action</c:v>
                </c:pt>
                <c:pt idx="6">
                  <c:v>New</c:v>
                </c:pt>
                <c:pt idx="7">
                  <c:v>Games</c:v>
                </c:pt>
                <c:pt idx="8">
                  <c:v>Foreign</c:v>
                </c:pt>
                <c:pt idx="9">
                  <c:v>Family</c:v>
                </c:pt>
                <c:pt idx="10">
                  <c:v>Documentary</c:v>
                </c:pt>
                <c:pt idx="11">
                  <c:v>Horror</c:v>
                </c:pt>
                <c:pt idx="12">
                  <c:v>Children</c:v>
                </c:pt>
                <c:pt idx="13">
                  <c:v>Classics</c:v>
                </c:pt>
                <c:pt idx="14">
                  <c:v>Travel</c:v>
                </c:pt>
                <c:pt idx="15">
                  <c:v>Music</c:v>
                </c:pt>
              </c:strCache>
            </c:strRef>
          </c:cat>
          <c:val>
            <c:numRef>
              <c:f>Q5_Category_Revenue!$E$2:$E$17</c:f>
              <c:numCache>
                <c:formatCode>0.0</c:formatCode>
                <c:ptCount val="16"/>
                <c:pt idx="0">
                  <c:v>7.88</c:v>
                </c:pt>
                <c:pt idx="1">
                  <c:v>14.94</c:v>
                </c:pt>
                <c:pt idx="2">
                  <c:v>21.85</c:v>
                </c:pt>
                <c:pt idx="3">
                  <c:v>28.66</c:v>
                </c:pt>
                <c:pt idx="4">
                  <c:v>35.159999999999997</c:v>
                </c:pt>
                <c:pt idx="5">
                  <c:v>41.65</c:v>
                </c:pt>
                <c:pt idx="6">
                  <c:v>48.11</c:v>
                </c:pt>
                <c:pt idx="7">
                  <c:v>54.46</c:v>
                </c:pt>
                <c:pt idx="8">
                  <c:v>60.8</c:v>
                </c:pt>
                <c:pt idx="9">
                  <c:v>67.069999999999993</c:v>
                </c:pt>
                <c:pt idx="10">
                  <c:v>73.33</c:v>
                </c:pt>
                <c:pt idx="11">
                  <c:v>78.849999999999994</c:v>
                </c:pt>
                <c:pt idx="12">
                  <c:v>84.27</c:v>
                </c:pt>
                <c:pt idx="13">
                  <c:v>89.67</c:v>
                </c:pt>
                <c:pt idx="14">
                  <c:v>94.94</c:v>
                </c:pt>
                <c:pt idx="15">
                  <c:v>100.00999999999999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E-4E78-83A3-D71BB8FD6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15135"/>
        <c:axId val="657178543"/>
      </c:lineChart>
      <c:catAx>
        <c:axId val="5609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71823"/>
        <c:crosses val="autoZero"/>
        <c:auto val="1"/>
        <c:lblAlgn val="ctr"/>
        <c:lblOffset val="100"/>
        <c:noMultiLvlLbl val="0"/>
      </c:catAx>
      <c:valAx>
        <c:axId val="6571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00287"/>
        <c:crosses val="autoZero"/>
        <c:crossBetween val="between"/>
      </c:valAx>
      <c:valAx>
        <c:axId val="657178543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15135"/>
        <c:crosses val="max"/>
        <c:crossBetween val="between"/>
      </c:valAx>
      <c:catAx>
        <c:axId val="560915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717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Most Rented Films</a:t>
            </a:r>
            <a:endParaRPr lang="en-IN" b="1"/>
          </a:p>
        </c:rich>
      </c:tx>
      <c:layout>
        <c:manualLayout>
          <c:xMode val="edge"/>
          <c:yMode val="edge"/>
          <c:x val="0.2541832020997375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Q2_Top_Films!$A$2:$A$11</c:f>
              <c:strCache>
                <c:ptCount val="10"/>
                <c:pt idx="0">
                  <c:v>BUCKET BROTHERHOOD</c:v>
                </c:pt>
                <c:pt idx="1">
                  <c:v>ROCKETEER MOTHER</c:v>
                </c:pt>
                <c:pt idx="2">
                  <c:v>RIDGEMONT SUBMARINE</c:v>
                </c:pt>
                <c:pt idx="3">
                  <c:v>GRIT CLOCKWORK</c:v>
                </c:pt>
                <c:pt idx="4">
                  <c:v>SCALAWAG DUCK</c:v>
                </c:pt>
                <c:pt idx="5">
                  <c:v>JUGGLER HARDLY</c:v>
                </c:pt>
                <c:pt idx="6">
                  <c:v>FORWARD TEMPLE</c:v>
                </c:pt>
                <c:pt idx="7">
                  <c:v>HOBBIT ALIEN</c:v>
                </c:pt>
                <c:pt idx="8">
                  <c:v>ROBBERS JOON</c:v>
                </c:pt>
                <c:pt idx="9">
                  <c:v>ZORRO ARK</c:v>
                </c:pt>
              </c:strCache>
            </c:strRef>
          </c:cat>
          <c:val>
            <c:numRef>
              <c:f>Q2_Top_Films!$B$2:$B$11</c:f>
              <c:numCache>
                <c:formatCode>General</c:formatCode>
                <c:ptCount val="10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7-457E-902B-61D05B3820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9077103"/>
        <c:axId val="1505224975"/>
      </c:barChart>
      <c:catAx>
        <c:axId val="114907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24975"/>
        <c:crosses val="autoZero"/>
        <c:auto val="1"/>
        <c:lblAlgn val="ctr"/>
        <c:lblOffset val="100"/>
        <c:noMultiLvlLbl val="0"/>
      </c:catAx>
      <c:valAx>
        <c:axId val="150522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7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Customers by Total Payment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Q1_Above_Average!$D$1</c:f>
              <c:strCache>
                <c:ptCount val="1"/>
                <c:pt idx="0">
                  <c:v> total_payment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Q1_Above_Average!$B$2:$C$11</c15:sqref>
                  </c15:fullRef>
                  <c15:levelRef>
                    <c15:sqref>Q1_Above_Average!$B$2:$B$11</c15:sqref>
                  </c15:levelRef>
                </c:ext>
              </c:extLst>
              <c:f>Q1_Above_Average!$B$2:$B$11</c:f>
              <c:strCache>
                <c:ptCount val="10"/>
                <c:pt idx="0">
                  <c:v>KARL</c:v>
                </c:pt>
                <c:pt idx="1">
                  <c:v>ELEANOR</c:v>
                </c:pt>
                <c:pt idx="2">
                  <c:v>CLARA</c:v>
                </c:pt>
                <c:pt idx="3">
                  <c:v>RHONDA</c:v>
                </c:pt>
                <c:pt idx="4">
                  <c:v>MARION</c:v>
                </c:pt>
                <c:pt idx="5">
                  <c:v>TOMMY</c:v>
                </c:pt>
                <c:pt idx="6">
                  <c:v>WESLEY</c:v>
                </c:pt>
                <c:pt idx="7">
                  <c:v>TIM</c:v>
                </c:pt>
                <c:pt idx="8">
                  <c:v>MARCIA</c:v>
                </c:pt>
                <c:pt idx="9">
                  <c:v>ANA</c:v>
                </c:pt>
              </c:strCache>
            </c:strRef>
          </c:cat>
          <c:val>
            <c:numRef>
              <c:f>Q1_Above_Average!$D$2:$D$11</c:f>
              <c:numCache>
                <c:formatCode>_-[$$-409]* #,##0.00_ ;_-[$$-409]* \-#,##0.00\ ;_-[$$-409]* "-"??_ ;_-@_ </c:formatCode>
                <c:ptCount val="1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D-406A-89DE-FB249C66B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639247"/>
        <c:axId val="668836367"/>
      </c:barChart>
      <c:catAx>
        <c:axId val="150463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6367"/>
        <c:crosses val="autoZero"/>
        <c:auto val="1"/>
        <c:lblAlgn val="ctr"/>
        <c:lblOffset val="100"/>
        <c:noMultiLvlLbl val="0"/>
      </c:catAx>
      <c:valAx>
        <c:axId val="66883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3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Contribution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Q5_Category_Revenue!$B$1</c:f>
              <c:strCache>
                <c:ptCount val="1"/>
                <c:pt idx="0">
                  <c:v>category_revenue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Q5_Category_Revenue!$A$2:$A$17</c:f>
              <c:strCache>
                <c:ptCount val="16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  <c:pt idx="5">
                  <c:v>Action</c:v>
                </c:pt>
                <c:pt idx="6">
                  <c:v>New</c:v>
                </c:pt>
                <c:pt idx="7">
                  <c:v>Games</c:v>
                </c:pt>
                <c:pt idx="8">
                  <c:v>Foreign</c:v>
                </c:pt>
                <c:pt idx="9">
                  <c:v>Family</c:v>
                </c:pt>
                <c:pt idx="10">
                  <c:v>Documentary</c:v>
                </c:pt>
                <c:pt idx="11">
                  <c:v>Horror</c:v>
                </c:pt>
                <c:pt idx="12">
                  <c:v>Children</c:v>
                </c:pt>
                <c:pt idx="13">
                  <c:v>Classics</c:v>
                </c:pt>
                <c:pt idx="14">
                  <c:v>Travel</c:v>
                </c:pt>
                <c:pt idx="15">
                  <c:v>Music</c:v>
                </c:pt>
              </c:strCache>
            </c:strRef>
          </c:cat>
          <c:val>
            <c:numRef>
              <c:f>Q5_Category_Revenue!$B$2:$B$17</c:f>
              <c:numCache>
                <c:formatCode>General</c:formatCode>
                <c:ptCount val="16"/>
                <c:pt idx="0">
                  <c:v>5314.21</c:v>
                </c:pt>
                <c:pt idx="1">
                  <c:v>4756.9799999999996</c:v>
                </c:pt>
                <c:pt idx="2">
                  <c:v>4656.3</c:v>
                </c:pt>
                <c:pt idx="3">
                  <c:v>4587.3900000000003</c:v>
                </c:pt>
                <c:pt idx="4">
                  <c:v>4383.58</c:v>
                </c:pt>
                <c:pt idx="5">
                  <c:v>4375.8500000000004</c:v>
                </c:pt>
                <c:pt idx="6">
                  <c:v>4351.62</c:v>
                </c:pt>
                <c:pt idx="7">
                  <c:v>4281.33</c:v>
                </c:pt>
                <c:pt idx="8">
                  <c:v>4270.67</c:v>
                </c:pt>
                <c:pt idx="9">
                  <c:v>4226.07</c:v>
                </c:pt>
                <c:pt idx="10">
                  <c:v>4217.5200000000004</c:v>
                </c:pt>
                <c:pt idx="11">
                  <c:v>3722.54</c:v>
                </c:pt>
                <c:pt idx="12">
                  <c:v>3655.55</c:v>
                </c:pt>
                <c:pt idx="13">
                  <c:v>3639.59</c:v>
                </c:pt>
                <c:pt idx="14">
                  <c:v>3549.64</c:v>
                </c:pt>
                <c:pt idx="15">
                  <c:v>3417.72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9-4A3A-AF5E-B6E636BE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00287"/>
        <c:axId val="657171823"/>
      </c:barChart>
      <c:lineChart>
        <c:grouping val="standard"/>
        <c:varyColors val="0"/>
        <c:ser>
          <c:idx val="1"/>
          <c:order val="1"/>
          <c:tx>
            <c:strRef>
              <c:f>Q5_Category_Revenue!$E$1</c:f>
              <c:strCache>
                <c:ptCount val="1"/>
                <c:pt idx="0">
                  <c:v>cumulative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Q5_Category_Revenue!$A$2:$A$17</c:f>
              <c:strCache>
                <c:ptCount val="16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  <c:pt idx="5">
                  <c:v>Action</c:v>
                </c:pt>
                <c:pt idx="6">
                  <c:v>New</c:v>
                </c:pt>
                <c:pt idx="7">
                  <c:v>Games</c:v>
                </c:pt>
                <c:pt idx="8">
                  <c:v>Foreign</c:v>
                </c:pt>
                <c:pt idx="9">
                  <c:v>Family</c:v>
                </c:pt>
                <c:pt idx="10">
                  <c:v>Documentary</c:v>
                </c:pt>
                <c:pt idx="11">
                  <c:v>Horror</c:v>
                </c:pt>
                <c:pt idx="12">
                  <c:v>Children</c:v>
                </c:pt>
                <c:pt idx="13">
                  <c:v>Classics</c:v>
                </c:pt>
                <c:pt idx="14">
                  <c:v>Travel</c:v>
                </c:pt>
                <c:pt idx="15">
                  <c:v>Music</c:v>
                </c:pt>
              </c:strCache>
            </c:strRef>
          </c:cat>
          <c:val>
            <c:numRef>
              <c:f>Q5_Category_Revenue!$E$2:$E$17</c:f>
              <c:numCache>
                <c:formatCode>0.0</c:formatCode>
                <c:ptCount val="16"/>
                <c:pt idx="0">
                  <c:v>7.88</c:v>
                </c:pt>
                <c:pt idx="1">
                  <c:v>14.94</c:v>
                </c:pt>
                <c:pt idx="2">
                  <c:v>21.85</c:v>
                </c:pt>
                <c:pt idx="3">
                  <c:v>28.66</c:v>
                </c:pt>
                <c:pt idx="4">
                  <c:v>35.159999999999997</c:v>
                </c:pt>
                <c:pt idx="5">
                  <c:v>41.65</c:v>
                </c:pt>
                <c:pt idx="6">
                  <c:v>48.11</c:v>
                </c:pt>
                <c:pt idx="7">
                  <c:v>54.46</c:v>
                </c:pt>
                <c:pt idx="8">
                  <c:v>60.8</c:v>
                </c:pt>
                <c:pt idx="9">
                  <c:v>67.069999999999993</c:v>
                </c:pt>
                <c:pt idx="10">
                  <c:v>73.33</c:v>
                </c:pt>
                <c:pt idx="11">
                  <c:v>78.849999999999994</c:v>
                </c:pt>
                <c:pt idx="12">
                  <c:v>84.27</c:v>
                </c:pt>
                <c:pt idx="13">
                  <c:v>89.67</c:v>
                </c:pt>
                <c:pt idx="14">
                  <c:v>94.94</c:v>
                </c:pt>
                <c:pt idx="15">
                  <c:v>100.00999999999999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E9-4A3A-AF5E-B6E636BE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15135"/>
        <c:axId val="657178543"/>
      </c:lineChart>
      <c:catAx>
        <c:axId val="5609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71823"/>
        <c:crosses val="autoZero"/>
        <c:auto val="1"/>
        <c:lblAlgn val="ctr"/>
        <c:lblOffset val="100"/>
        <c:noMultiLvlLbl val="0"/>
      </c:catAx>
      <c:valAx>
        <c:axId val="6571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00287"/>
        <c:crosses val="autoZero"/>
        <c:crossBetween val="between"/>
      </c:valAx>
      <c:valAx>
        <c:axId val="657178543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15135"/>
        <c:crosses val="max"/>
        <c:crossBetween val="between"/>
      </c:valAx>
      <c:catAx>
        <c:axId val="560915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717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Top 10 Customers by Lifetime Value</a:t>
            </a:r>
            <a:endParaRPr lang="en-IN" b="1"/>
          </a:p>
        </cx:rich>
      </cx:tx>
    </cx:title>
    <cx:plotArea>
      <cx:plotAreaRegion>
        <cx:series layoutId="waterfall" uniqueId="{AEDAAD62-6C8E-4F63-B249-8E64C731DBC2}">
          <cx:dataId val="0"/>
          <cx:layoutPr>
            <cx:subtotals/>
          </cx:layoutPr>
        </cx:series>
      </cx:plotAreaRegion>
      <cx:axis id="0">
        <cx:catScaling gapWidth="1.82000005"/>
        <cx:tickLabels/>
      </cx:axis>
      <cx:axis id="1">
        <cx:valScaling/>
        <cx:majorGridlines/>
        <cx:tickLabels/>
      </cx:axis>
    </cx:plotArea>
  </cx:chart>
  <cx:spPr>
    <a:solidFill>
      <a:schemeClr val="bg2"/>
    </a:solidFill>
    <a:ln>
      <a:solidFill>
        <a:schemeClr val="bg2">
          <a:lumMod val="5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Top 10 Customers by Lifetime Value</a:t>
            </a:r>
            <a:endParaRPr lang="en-IN" b="1"/>
          </a:p>
        </cx:rich>
      </cx:tx>
    </cx:title>
    <cx:plotArea>
      <cx:plotAreaRegion>
        <cx:series layoutId="waterfall" uniqueId="{AEDAAD62-6C8E-4F63-B249-8E64C731DBC2}">
          <cx:dataId val="0"/>
          <cx:layoutPr>
            <cx:subtotals/>
          </cx:layoutPr>
        </cx:series>
      </cx:plotAreaRegion>
      <cx:axis id="0">
        <cx:catScaling gapWidth="1.82000005"/>
        <cx:tickLabels/>
      </cx:axis>
      <cx:axis id="1">
        <cx:valScaling/>
        <cx:majorGridlines/>
        <cx:tickLabels/>
      </cx:axis>
    </cx:plotArea>
  </cx:chart>
  <cx:spPr>
    <a:solidFill>
      <a:schemeClr val="bg2"/>
    </a:solidFill>
    <a:ln>
      <a:solidFill>
        <a:schemeClr val="bg2">
          <a:lumMod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1</xdr:row>
      <xdr:rowOff>0</xdr:rowOff>
    </xdr:from>
    <xdr:to>
      <xdr:col>12</xdr:col>
      <xdr:colOff>307975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167B5-6132-58A6-ECB7-0B7ECCCF6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12700</xdr:rowOff>
    </xdr:from>
    <xdr:to>
      <xdr:col>12</xdr:col>
      <xdr:colOff>314325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1D9C9-6F2F-1D94-D4A2-E40F84F1B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488950</xdr:colOff>
      <xdr:row>8</xdr:row>
      <xdr:rowOff>146050</xdr:rowOff>
    </xdr:from>
    <xdr:to>
      <xdr:col>11</xdr:col>
      <xdr:colOff>311150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C5C37-683D-9A7E-CAD7-D75232D1C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3</xdr:row>
      <xdr:rowOff>114300</xdr:rowOff>
    </xdr:from>
    <xdr:to>
      <xdr:col>12</xdr:col>
      <xdr:colOff>327025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E3659-189D-FA91-C96B-156EFAF49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12</xdr:col>
      <xdr:colOff>245015</xdr:colOff>
      <xdr:row>19</xdr:row>
      <xdr:rowOff>179238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BE19154-B819-4C8A-92A7-9E79924D1F7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6700" y="1104900"/>
              <a:ext cx="3902615" cy="2573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179717</xdr:colOff>
      <xdr:row>20</xdr:row>
      <xdr:rowOff>89619</xdr:rowOff>
    </xdr:from>
    <xdr:to>
      <xdr:col>6</xdr:col>
      <xdr:colOff>334393</xdr:colOff>
      <xdr:row>34</xdr:row>
      <xdr:rowOff>165819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56BAF-8CD8-4BC8-9F66-BD85A27EE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20</xdr:row>
      <xdr:rowOff>101600</xdr:rowOff>
    </xdr:from>
    <xdr:to>
      <xdr:col>13</xdr:col>
      <xdr:colOff>69850</xdr:colOff>
      <xdr:row>34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3875E3-83A8-448D-89F6-4ABEC91D3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431800</xdr:colOff>
      <xdr:row>5</xdr:row>
      <xdr:rowOff>107950</xdr:rowOff>
    </xdr:from>
    <xdr:to>
      <xdr:col>13</xdr:col>
      <xdr:colOff>57150</xdr:colOff>
      <xdr:row>19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5E025EA-CF90-4036-98C9-8A67671EA45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9400" y="1289050"/>
              <a:ext cx="3892550" cy="263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177800</xdr:colOff>
      <xdr:row>5</xdr:row>
      <xdr:rowOff>133350</xdr:rowOff>
    </xdr:from>
    <xdr:to>
      <xdr:col>6</xdr:col>
      <xdr:colOff>336550</xdr:colOff>
      <xdr:row>19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2CC790-8627-4B88-8806-5DC28BCAE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179717</xdr:colOff>
      <xdr:row>35</xdr:row>
      <xdr:rowOff>107831</xdr:rowOff>
    </xdr:from>
    <xdr:to>
      <xdr:col>6</xdr:col>
      <xdr:colOff>323491</xdr:colOff>
      <xdr:row>43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E81295A-3FDF-1A95-7CD6-BEF2ECF55473}"/>
            </a:ext>
          </a:extLst>
        </xdr:cNvPr>
        <xdr:cNvSpPr/>
      </xdr:nvSpPr>
      <xdr:spPr>
        <a:xfrm>
          <a:off x="179717" y="6673491"/>
          <a:ext cx="3810000" cy="1329905"/>
        </a:xfrm>
        <a:prstGeom prst="rect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b="1" u="sng"/>
            <a:t>KEY BUSINESS INSIGHTS:</a:t>
          </a:r>
          <a:endParaRPr lang="en-IN" u="sng"/>
        </a:p>
        <a:p>
          <a:pPr lvl="0"/>
          <a:r>
            <a:rPr lang="en-IN"/>
            <a:t>🎬 </a:t>
          </a:r>
          <a:r>
            <a:rPr lang="en-IN" b="1"/>
            <a:t>Most Rented Film: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BUCKET BROTHERHOOD</a:t>
          </a:r>
          <a:r>
            <a:rPr lang="en-IN" b="1">
              <a:effectLst/>
            </a:rPr>
            <a:t> </a:t>
          </a:r>
          <a:r>
            <a:rPr lang="en-IN"/>
            <a:t>— </a:t>
          </a:r>
          <a:r>
            <a:rPr lang="en-IN" b="1"/>
            <a:t>34</a:t>
          </a:r>
          <a:r>
            <a:rPr lang="en-IN"/>
            <a:t> rentals </a:t>
          </a:r>
        </a:p>
        <a:p>
          <a:pPr lvl="0"/>
          <a:r>
            <a:rPr lang="en-IN"/>
            <a:t>💰 </a:t>
          </a:r>
          <a:r>
            <a:rPr lang="en-IN" b="1"/>
            <a:t>Top Revenue Category:</a:t>
          </a:r>
          <a:r>
            <a:rPr lang="en-IN"/>
            <a:t> </a:t>
          </a:r>
          <a:r>
            <a:rPr lang="en-IN" b="1"/>
            <a:t>Sports</a:t>
          </a:r>
          <a:r>
            <a:rPr lang="en-IN"/>
            <a:t> — </a:t>
          </a:r>
          <a:r>
            <a:rPr lang="en-IN" b="1"/>
            <a:t>7.9</a:t>
          </a:r>
          <a:r>
            <a:rPr lang="en-IN"/>
            <a:t>% of revenue </a:t>
          </a:r>
        </a:p>
        <a:p>
          <a:pPr lvl="0"/>
          <a:r>
            <a:rPr lang="en-IN"/>
            <a:t>👤 </a:t>
          </a:r>
          <a:r>
            <a:rPr lang="en-IN" b="1"/>
            <a:t>Top Customer:</a:t>
          </a:r>
          <a:r>
            <a:rPr lang="en-IN"/>
            <a:t> </a:t>
          </a:r>
          <a:r>
            <a:rPr lang="en-IN" b="1"/>
            <a:t>Karl</a:t>
          </a:r>
          <a:r>
            <a:rPr lang="en-IN" b="1" baseline="0"/>
            <a:t> Seal</a:t>
          </a:r>
          <a:r>
            <a:rPr lang="en-IN"/>
            <a:t>—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 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221.55 </a:t>
          </a:r>
          <a:r>
            <a:rPr lang="en-IN"/>
            <a:t> lifetime spend </a:t>
          </a:r>
        </a:p>
        <a:p>
          <a:pPr lvl="0"/>
          <a:r>
            <a:rPr lang="en-IN"/>
            <a:t>👥 </a:t>
          </a:r>
          <a:r>
            <a:rPr lang="en-IN" b="1"/>
            <a:t>Highest Staff Workload: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Mike Hillyer</a:t>
          </a:r>
          <a:r>
            <a:rPr lang="en-IN" b="1">
              <a:effectLst/>
            </a:rPr>
            <a:t> </a:t>
          </a:r>
          <a:r>
            <a:rPr lang="en-IN"/>
            <a:t> —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8054</a:t>
          </a:r>
          <a:r>
            <a:rPr lang="en-IN" b="1">
              <a:effectLst/>
            </a:rPr>
            <a:t> </a:t>
          </a:r>
          <a:r>
            <a:rPr lang="en-IN"/>
            <a:t> transactions </a:t>
          </a:r>
        </a:p>
        <a:p>
          <a:pPr lvl="0"/>
          <a:r>
            <a:rPr lang="en-IN"/>
            <a:t>📈 </a:t>
          </a:r>
          <a:r>
            <a:rPr lang="en-IN" b="1"/>
            <a:t>Above-Average Customers: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285</a:t>
          </a:r>
          <a:r>
            <a:rPr lang="en-IN" b="1">
              <a:effectLst/>
            </a:rPr>
            <a:t> </a:t>
          </a:r>
          <a:r>
            <a:rPr lang="en-IN"/>
            <a:t> customers</a:t>
          </a: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443302</xdr:colOff>
      <xdr:row>35</xdr:row>
      <xdr:rowOff>119811</xdr:rowOff>
    </xdr:from>
    <xdr:to>
      <xdr:col>13</xdr:col>
      <xdr:colOff>83867</xdr:colOff>
      <xdr:row>43</xdr:row>
      <xdr:rowOff>11980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D4BC8B-1DCE-4F2B-86EF-001BDB241DAB}"/>
            </a:ext>
          </a:extLst>
        </xdr:cNvPr>
        <xdr:cNvSpPr/>
      </xdr:nvSpPr>
      <xdr:spPr>
        <a:xfrm>
          <a:off x="4109528" y="6685471"/>
          <a:ext cx="3917830" cy="1329905"/>
        </a:xfrm>
        <a:prstGeom prst="rect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b="1" u="sng"/>
            <a:t>STRATEGIC RECOMMENDATIONS:</a:t>
          </a:r>
          <a:r>
            <a:rPr lang="en-IN" b="1"/>
            <a:t> </a:t>
          </a:r>
        </a:p>
        <a:p>
          <a:r>
            <a:rPr lang="en-IN"/>
            <a:t>📦 </a:t>
          </a:r>
          <a:r>
            <a:rPr lang="en-IN" b="1"/>
            <a:t>Increase copies for top 3 titles by 15%.</a:t>
          </a:r>
        </a:p>
        <a:p>
          <a:r>
            <a:rPr lang="en-IN"/>
            <a:t>🏷️ </a:t>
          </a:r>
          <a:r>
            <a:rPr lang="en-IN" b="1"/>
            <a:t>Cross-promote Music/Travel using Sports.</a:t>
          </a:r>
        </a:p>
        <a:p>
          <a:r>
            <a:rPr lang="en-IN"/>
            <a:t>🎖️ </a:t>
          </a:r>
          <a:r>
            <a:rPr lang="en-IN" b="1"/>
            <a:t>Launch a VIP program for top 10 buyers.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 AS" refreshedDate="46293.662128819444" createdVersion="8" refreshedVersion="8" minRefreshableVersion="3" recordCount="296" xr:uid="{3FEE6D4B-BA66-401D-B29D-B7DC5C84BC01}">
  <cacheSource type="worksheet">
    <worksheetSource name="Table4"/>
  </cacheSource>
  <cacheFields count="5">
    <cacheField name="customer_id" numFmtId="0">
      <sharedItems containsSemiMixedTypes="0" containsString="0" containsNumber="1" containsInteger="1" minValue="1" maxValue="596"/>
    </cacheField>
    <cacheField name="first_name" numFmtId="0">
      <sharedItems/>
    </cacheField>
    <cacheField name="last_name" numFmtId="0">
      <sharedItems/>
    </cacheField>
    <cacheField name="store_id" numFmtId="0">
      <sharedItems containsSemiMixedTypes="0" containsString="0" containsNumber="1" containsInteger="1" minValue="1" maxValue="2" count="2">
        <n v="1"/>
        <n v="2"/>
      </sharedItems>
    </cacheField>
    <cacheField name="rental_count" numFmtId="0">
      <sharedItems containsSemiMixedTypes="0" containsString="0" containsNumber="1" containsInteger="1" minValue="27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1"/>
    <s v="MARY"/>
    <s v="SMITH"/>
    <x v="0"/>
    <n v="32"/>
  </r>
  <r>
    <n v="2"/>
    <s v="PATRICIA"/>
    <s v="JOHNSON"/>
    <x v="0"/>
    <n v="27"/>
  </r>
  <r>
    <n v="5"/>
    <s v="ELIZABETH"/>
    <s v="BROWN"/>
    <x v="0"/>
    <n v="38"/>
  </r>
  <r>
    <n v="6"/>
    <s v="JENNIFER"/>
    <s v="DAVIS"/>
    <x v="1"/>
    <n v="28"/>
  </r>
  <r>
    <n v="7"/>
    <s v="MARIA"/>
    <s v="MILLER"/>
    <x v="0"/>
    <n v="33"/>
  </r>
  <r>
    <n v="12"/>
    <s v="NANCY"/>
    <s v="THOMAS"/>
    <x v="0"/>
    <n v="28"/>
  </r>
  <r>
    <n v="13"/>
    <s v="KAREN"/>
    <s v="JACKSON"/>
    <x v="1"/>
    <n v="27"/>
  </r>
  <r>
    <n v="14"/>
    <s v="BETTY"/>
    <s v="WHITE"/>
    <x v="1"/>
    <n v="28"/>
  </r>
  <r>
    <n v="15"/>
    <s v="HELEN"/>
    <s v="HARRIS"/>
    <x v="0"/>
    <n v="32"/>
  </r>
  <r>
    <n v="16"/>
    <s v="SANDRA"/>
    <s v="MARTIN"/>
    <x v="1"/>
    <n v="28"/>
  </r>
  <r>
    <n v="20"/>
    <s v="SHARON"/>
    <s v="ROBINSON"/>
    <x v="1"/>
    <n v="30"/>
  </r>
  <r>
    <n v="21"/>
    <s v="MICHELLE"/>
    <s v="CLARK"/>
    <x v="0"/>
    <n v="35"/>
  </r>
  <r>
    <n v="23"/>
    <s v="SARAH"/>
    <s v="LEWIS"/>
    <x v="1"/>
    <n v="30"/>
  </r>
  <r>
    <n v="25"/>
    <s v="DEBORAH"/>
    <s v="WALKER"/>
    <x v="0"/>
    <n v="29"/>
  </r>
  <r>
    <n v="26"/>
    <s v="JESSICA"/>
    <s v="HALL"/>
    <x v="1"/>
    <n v="34"/>
  </r>
  <r>
    <n v="27"/>
    <s v="SHIRLEY"/>
    <s v="ALLEN"/>
    <x v="1"/>
    <n v="31"/>
  </r>
  <r>
    <n v="28"/>
    <s v="CYNTHIA"/>
    <s v="YOUNG"/>
    <x v="0"/>
    <n v="32"/>
  </r>
  <r>
    <n v="29"/>
    <s v="ANGELA"/>
    <s v="HERNANDEZ"/>
    <x v="1"/>
    <n v="36"/>
  </r>
  <r>
    <n v="30"/>
    <s v="MELISSA"/>
    <s v="KING"/>
    <x v="0"/>
    <n v="34"/>
  </r>
  <r>
    <n v="32"/>
    <s v="AMY"/>
    <s v="LOPEZ"/>
    <x v="0"/>
    <n v="29"/>
  </r>
  <r>
    <n v="35"/>
    <s v="VIRGINIA"/>
    <s v="GREEN"/>
    <x v="1"/>
    <n v="32"/>
  </r>
  <r>
    <n v="36"/>
    <s v="KATHLEEN"/>
    <s v="ADAMS"/>
    <x v="1"/>
    <n v="27"/>
  </r>
  <r>
    <n v="38"/>
    <s v="MARTHA"/>
    <s v="GONZALEZ"/>
    <x v="0"/>
    <n v="34"/>
  </r>
  <r>
    <n v="39"/>
    <s v="DEBRA"/>
    <s v="NELSON"/>
    <x v="0"/>
    <n v="29"/>
  </r>
  <r>
    <n v="40"/>
    <s v="AMANDA"/>
    <s v="CARTER"/>
    <x v="1"/>
    <n v="27"/>
  </r>
  <r>
    <n v="42"/>
    <s v="CAROLYN"/>
    <s v="PEREZ"/>
    <x v="1"/>
    <n v="30"/>
  </r>
  <r>
    <n v="45"/>
    <s v="JANET"/>
    <s v="PHILLIPS"/>
    <x v="0"/>
    <n v="27"/>
  </r>
  <r>
    <n v="46"/>
    <s v="CATHERINE"/>
    <s v="CAMPBELL"/>
    <x v="1"/>
    <n v="34"/>
  </r>
  <r>
    <n v="49"/>
    <s v="JOYCE"/>
    <s v="EDWARDS"/>
    <x v="1"/>
    <n v="28"/>
  </r>
  <r>
    <n v="50"/>
    <s v="DIANE"/>
    <s v="COLLINS"/>
    <x v="0"/>
    <n v="35"/>
  </r>
  <r>
    <n v="51"/>
    <s v="ALICE"/>
    <s v="STEWART"/>
    <x v="0"/>
    <n v="33"/>
  </r>
  <r>
    <n v="52"/>
    <s v="JULIE"/>
    <s v="SANCHEZ"/>
    <x v="0"/>
    <n v="29"/>
  </r>
  <r>
    <n v="53"/>
    <s v="HEATHER"/>
    <s v="MORRIS"/>
    <x v="0"/>
    <n v="30"/>
  </r>
  <r>
    <n v="54"/>
    <s v="TERESA"/>
    <s v="ROGERS"/>
    <x v="0"/>
    <n v="29"/>
  </r>
  <r>
    <n v="56"/>
    <s v="GLORIA"/>
    <s v="COOK"/>
    <x v="0"/>
    <n v="30"/>
  </r>
  <r>
    <n v="57"/>
    <s v="EVELYN"/>
    <s v="MORGAN"/>
    <x v="1"/>
    <n v="28"/>
  </r>
  <r>
    <n v="58"/>
    <s v="JEAN"/>
    <s v="BELL"/>
    <x v="0"/>
    <n v="27"/>
  </r>
  <r>
    <n v="59"/>
    <s v="CHERYL"/>
    <s v="MURPHY"/>
    <x v="0"/>
    <n v="27"/>
  </r>
  <r>
    <n v="64"/>
    <s v="JUDITH"/>
    <s v="COX"/>
    <x v="1"/>
    <n v="33"/>
  </r>
  <r>
    <n v="66"/>
    <s v="JANICE"/>
    <s v="WARD"/>
    <x v="1"/>
    <n v="34"/>
  </r>
  <r>
    <n v="71"/>
    <s v="KATHY"/>
    <s v="JAMES"/>
    <x v="0"/>
    <n v="30"/>
  </r>
  <r>
    <n v="72"/>
    <s v="THERESA"/>
    <s v="WATSON"/>
    <x v="1"/>
    <n v="30"/>
  </r>
  <r>
    <n v="74"/>
    <s v="DENISE"/>
    <s v="KELLY"/>
    <x v="0"/>
    <n v="27"/>
  </r>
  <r>
    <n v="75"/>
    <s v="TAMMY"/>
    <s v="SANDERS"/>
    <x v="1"/>
    <n v="41"/>
  </r>
  <r>
    <n v="77"/>
    <s v="JANE"/>
    <s v="BENNETT"/>
    <x v="1"/>
    <n v="28"/>
  </r>
  <r>
    <n v="78"/>
    <s v="LORI"/>
    <s v="WOOD"/>
    <x v="0"/>
    <n v="31"/>
  </r>
  <r>
    <n v="80"/>
    <s v="MARILYN"/>
    <s v="ROSS"/>
    <x v="0"/>
    <n v="30"/>
  </r>
  <r>
    <n v="84"/>
    <s v="SARA"/>
    <s v="PERRY"/>
    <x v="1"/>
    <n v="33"/>
  </r>
  <r>
    <n v="86"/>
    <s v="JACQUELINE"/>
    <s v="LONG"/>
    <x v="1"/>
    <n v="33"/>
  </r>
  <r>
    <n v="87"/>
    <s v="WANDA"/>
    <s v="PATTERSON"/>
    <x v="0"/>
    <n v="30"/>
  </r>
  <r>
    <n v="89"/>
    <s v="JULIA"/>
    <s v="FLORES"/>
    <x v="0"/>
    <n v="32"/>
  </r>
  <r>
    <n v="90"/>
    <s v="RUBY"/>
    <s v="WASHINGTON"/>
    <x v="1"/>
    <n v="28"/>
  </r>
  <r>
    <n v="91"/>
    <s v="LOIS"/>
    <s v="BUTLER"/>
    <x v="1"/>
    <n v="35"/>
  </r>
  <r>
    <n v="92"/>
    <s v="TINA"/>
    <s v="SIMMONS"/>
    <x v="1"/>
    <n v="28"/>
  </r>
  <r>
    <n v="96"/>
    <s v="DIANA"/>
    <s v="ALEXANDER"/>
    <x v="0"/>
    <n v="27"/>
  </r>
  <r>
    <n v="102"/>
    <s v="CRYSTAL"/>
    <s v="FORD"/>
    <x v="0"/>
    <n v="33"/>
  </r>
  <r>
    <n v="103"/>
    <s v="GLADYS"/>
    <s v="HAMILTON"/>
    <x v="0"/>
    <n v="31"/>
  </r>
  <r>
    <n v="107"/>
    <s v="FLORENCE"/>
    <s v="WOODS"/>
    <x v="0"/>
    <n v="30"/>
  </r>
  <r>
    <n v="108"/>
    <s v="TRACY"/>
    <s v="COLE"/>
    <x v="0"/>
    <n v="30"/>
  </r>
  <r>
    <n v="112"/>
    <s v="ROSA"/>
    <s v="REYNOLDS"/>
    <x v="1"/>
    <n v="30"/>
  </r>
  <r>
    <n v="113"/>
    <s v="CINDY"/>
    <s v="FISHER"/>
    <x v="1"/>
    <n v="29"/>
  </r>
  <r>
    <n v="114"/>
    <s v="GRACE"/>
    <s v="ELLIS"/>
    <x v="1"/>
    <n v="33"/>
  </r>
  <r>
    <n v="115"/>
    <s v="WENDY"/>
    <s v="HARRISON"/>
    <x v="0"/>
    <n v="30"/>
  </r>
  <r>
    <n v="116"/>
    <s v="VICTORIA"/>
    <s v="GIBSON"/>
    <x v="0"/>
    <n v="27"/>
  </r>
  <r>
    <n v="119"/>
    <s v="SHERRY"/>
    <s v="MARSHALL"/>
    <x v="0"/>
    <n v="34"/>
  </r>
  <r>
    <n v="120"/>
    <s v="SYLVIA"/>
    <s v="ORTIZ"/>
    <x v="1"/>
    <n v="32"/>
  </r>
  <r>
    <n v="122"/>
    <s v="THELMA"/>
    <s v="MURRAY"/>
    <x v="0"/>
    <n v="32"/>
  </r>
  <r>
    <n v="125"/>
    <s v="ETHEL"/>
    <s v="WEBB"/>
    <x v="0"/>
    <n v="32"/>
  </r>
  <r>
    <n v="126"/>
    <s v="ELLEN"/>
    <s v="SIMPSON"/>
    <x v="0"/>
    <n v="28"/>
  </r>
  <r>
    <n v="128"/>
    <s v="MARJORIE"/>
    <s v="TUCKER"/>
    <x v="0"/>
    <n v="32"/>
  </r>
  <r>
    <n v="129"/>
    <s v="CARRIE"/>
    <s v="PORTER"/>
    <x v="0"/>
    <n v="34"/>
  </r>
  <r>
    <n v="131"/>
    <s v="MONICA"/>
    <s v="HICKS"/>
    <x v="1"/>
    <n v="30"/>
  </r>
  <r>
    <n v="132"/>
    <s v="ESTHER"/>
    <s v="CRAWFORD"/>
    <x v="1"/>
    <n v="28"/>
  </r>
  <r>
    <n v="133"/>
    <s v="PAULINE"/>
    <s v="HENRY"/>
    <x v="0"/>
    <n v="27"/>
  </r>
  <r>
    <n v="135"/>
    <s v="JUANITA"/>
    <s v="MASON"/>
    <x v="1"/>
    <n v="30"/>
  </r>
  <r>
    <n v="137"/>
    <s v="RHONDA"/>
    <s v="KENNEDY"/>
    <x v="1"/>
    <n v="39"/>
  </r>
  <r>
    <n v="138"/>
    <s v="HAZEL"/>
    <s v="WARREN"/>
    <x v="0"/>
    <n v="34"/>
  </r>
  <r>
    <n v="139"/>
    <s v="AMBER"/>
    <s v="DIXON"/>
    <x v="0"/>
    <n v="27"/>
  </r>
  <r>
    <n v="141"/>
    <s v="DEBBIE"/>
    <s v="REYES"/>
    <x v="0"/>
    <n v="32"/>
  </r>
  <r>
    <n v="144"/>
    <s v="CLARA"/>
    <s v="SHAW"/>
    <x v="0"/>
    <n v="42"/>
  </r>
  <r>
    <n v="145"/>
    <s v="LUCILLE"/>
    <s v="HOLMES"/>
    <x v="0"/>
    <n v="28"/>
  </r>
  <r>
    <n v="146"/>
    <s v="JAMIE"/>
    <s v="RICE"/>
    <x v="0"/>
    <n v="29"/>
  </r>
  <r>
    <n v="147"/>
    <s v="JOANNE"/>
    <s v="ROBERTSON"/>
    <x v="1"/>
    <n v="34"/>
  </r>
  <r>
    <n v="148"/>
    <s v="ELEANOR"/>
    <s v="HUNT"/>
    <x v="0"/>
    <n v="46"/>
  </r>
  <r>
    <n v="151"/>
    <s v="MEGAN"/>
    <s v="PALMER"/>
    <x v="1"/>
    <n v="27"/>
  </r>
  <r>
    <n v="154"/>
    <s v="MICHELE"/>
    <s v="GRANT"/>
    <x v="1"/>
    <n v="30"/>
  </r>
  <r>
    <n v="157"/>
    <s v="DARLENE"/>
    <s v="ROSE"/>
    <x v="1"/>
    <n v="31"/>
  </r>
  <r>
    <n v="158"/>
    <s v="VERONICA"/>
    <s v="STONE"/>
    <x v="0"/>
    <n v="32"/>
  </r>
  <r>
    <n v="160"/>
    <s v="ERIN"/>
    <s v="DUNN"/>
    <x v="1"/>
    <n v="27"/>
  </r>
  <r>
    <n v="161"/>
    <s v="GERALDINE"/>
    <s v="PERKINS"/>
    <x v="0"/>
    <n v="30"/>
  </r>
  <r>
    <n v="163"/>
    <s v="CATHY"/>
    <s v="SPENCER"/>
    <x v="0"/>
    <n v="29"/>
  </r>
  <r>
    <n v="166"/>
    <s v="LYNN"/>
    <s v="PAYNE"/>
    <x v="0"/>
    <n v="28"/>
  </r>
  <r>
    <n v="167"/>
    <s v="SALLY"/>
    <s v="PIERCE"/>
    <x v="1"/>
    <n v="32"/>
  </r>
  <r>
    <n v="168"/>
    <s v="REGINA"/>
    <s v="BERRY"/>
    <x v="0"/>
    <n v="34"/>
  </r>
  <r>
    <n v="172"/>
    <s v="BERNICE"/>
    <s v="WILLIS"/>
    <x v="0"/>
    <n v="33"/>
  </r>
  <r>
    <n v="173"/>
    <s v="AUDREY"/>
    <s v="RAY"/>
    <x v="0"/>
    <n v="29"/>
  </r>
  <r>
    <n v="176"/>
    <s v="JUNE"/>
    <s v="CARROLL"/>
    <x v="0"/>
    <n v="37"/>
  </r>
  <r>
    <n v="178"/>
    <s v="MARION"/>
    <s v="SNYDER"/>
    <x v="1"/>
    <n v="39"/>
  </r>
  <r>
    <n v="179"/>
    <s v="DANA"/>
    <s v="HART"/>
    <x v="0"/>
    <n v="29"/>
  </r>
  <r>
    <n v="181"/>
    <s v="ANA"/>
    <s v="BRADLEY"/>
    <x v="1"/>
    <n v="34"/>
  </r>
  <r>
    <n v="186"/>
    <s v="HOLLY"/>
    <s v="FOX"/>
    <x v="1"/>
    <n v="31"/>
  </r>
  <r>
    <n v="187"/>
    <s v="BRITTANY"/>
    <s v="RILEY"/>
    <x v="1"/>
    <n v="28"/>
  </r>
  <r>
    <n v="190"/>
    <s v="YOLANDA"/>
    <s v="WEAVER"/>
    <x v="1"/>
    <n v="27"/>
  </r>
  <r>
    <n v="196"/>
    <s v="ALMA"/>
    <s v="AUSTIN"/>
    <x v="0"/>
    <n v="35"/>
  </r>
  <r>
    <n v="197"/>
    <s v="SUE"/>
    <s v="PETERS"/>
    <x v="1"/>
    <n v="40"/>
  </r>
  <r>
    <n v="198"/>
    <s v="ELSIE"/>
    <s v="KELLEY"/>
    <x v="1"/>
    <n v="37"/>
  </r>
  <r>
    <n v="200"/>
    <s v="JEANNE"/>
    <s v="LAWSON"/>
    <x v="1"/>
    <n v="27"/>
  </r>
  <r>
    <n v="204"/>
    <s v="ROSEMARY"/>
    <s v="SCHMIDT"/>
    <x v="0"/>
    <n v="35"/>
  </r>
  <r>
    <n v="206"/>
    <s v="TERRI"/>
    <s v="VASQUEZ"/>
    <x v="0"/>
    <n v="27"/>
  </r>
  <r>
    <n v="207"/>
    <s v="GERTRUDE"/>
    <s v="CASTILLO"/>
    <x v="0"/>
    <n v="34"/>
  </r>
  <r>
    <n v="209"/>
    <s v="TONYA"/>
    <s v="CHAPMAN"/>
    <x v="1"/>
    <n v="32"/>
  </r>
  <r>
    <n v="210"/>
    <s v="ELLA"/>
    <s v="OLIVER"/>
    <x v="1"/>
    <n v="31"/>
  </r>
  <r>
    <n v="211"/>
    <s v="STACEY"/>
    <s v="MONTGOMERY"/>
    <x v="0"/>
    <n v="34"/>
  </r>
  <r>
    <n v="213"/>
    <s v="GINA"/>
    <s v="WILLIAMSON"/>
    <x v="0"/>
    <n v="28"/>
  </r>
  <r>
    <n v="214"/>
    <s v="KRISTIN"/>
    <s v="JOHNSTON"/>
    <x v="0"/>
    <n v="31"/>
  </r>
  <r>
    <n v="220"/>
    <s v="CHARLENE"/>
    <s v="ALVAREZ"/>
    <x v="1"/>
    <n v="27"/>
  </r>
  <r>
    <n v="221"/>
    <s v="BESSIE"/>
    <s v="MORRISON"/>
    <x v="0"/>
    <n v="28"/>
  </r>
  <r>
    <n v="228"/>
    <s v="ALLISON"/>
    <s v="STANLEY"/>
    <x v="1"/>
    <n v="27"/>
  </r>
  <r>
    <n v="230"/>
    <s v="JOY"/>
    <s v="GEORGE"/>
    <x v="1"/>
    <n v="33"/>
  </r>
  <r>
    <n v="236"/>
    <s v="MARCIA"/>
    <s v="DEAN"/>
    <x v="0"/>
    <n v="42"/>
  </r>
  <r>
    <n v="237"/>
    <s v="TANYA"/>
    <s v="GILBERT"/>
    <x v="0"/>
    <n v="33"/>
  </r>
  <r>
    <n v="239"/>
    <s v="MINNIE"/>
    <s v="ROMERO"/>
    <x v="1"/>
    <n v="34"/>
  </r>
  <r>
    <n v="241"/>
    <s v="HEIDI"/>
    <s v="LARSON"/>
    <x v="1"/>
    <n v="34"/>
  </r>
  <r>
    <n v="242"/>
    <s v="GLENDA"/>
    <s v="FRAZIER"/>
    <x v="0"/>
    <n v="32"/>
  </r>
  <r>
    <n v="244"/>
    <s v="VIOLA"/>
    <s v="HANSON"/>
    <x v="1"/>
    <n v="32"/>
  </r>
  <r>
    <n v="245"/>
    <s v="COURTNEY"/>
    <s v="DAY"/>
    <x v="0"/>
    <n v="32"/>
  </r>
  <r>
    <n v="251"/>
    <s v="VICKIE"/>
    <s v="BREWER"/>
    <x v="1"/>
    <n v="31"/>
  </r>
  <r>
    <n v="253"/>
    <s v="TERRY"/>
    <s v="CARLSON"/>
    <x v="0"/>
    <n v="29"/>
  </r>
  <r>
    <n v="254"/>
    <s v="MAXINE"/>
    <s v="SILVA"/>
    <x v="1"/>
    <n v="32"/>
  </r>
  <r>
    <n v="256"/>
    <s v="MABEL"/>
    <s v="HOLLAND"/>
    <x v="1"/>
    <n v="30"/>
  </r>
  <r>
    <n v="257"/>
    <s v="MARSHA"/>
    <s v="DOUGLAS"/>
    <x v="1"/>
    <n v="37"/>
  </r>
  <r>
    <n v="259"/>
    <s v="LENA"/>
    <s v="JENSEN"/>
    <x v="1"/>
    <n v="32"/>
  </r>
  <r>
    <n v="260"/>
    <s v="CHRISTY"/>
    <s v="VARGAS"/>
    <x v="0"/>
    <n v="31"/>
  </r>
  <r>
    <n v="262"/>
    <s v="PATSY"/>
    <s v="DAVIDSON"/>
    <x v="1"/>
    <n v="28"/>
  </r>
  <r>
    <n v="263"/>
    <s v="HILDA"/>
    <s v="HOPKINS"/>
    <x v="0"/>
    <n v="29"/>
  </r>
  <r>
    <n v="265"/>
    <s v="JENNIE"/>
    <s v="TERRY"/>
    <x v="1"/>
    <n v="29"/>
  </r>
  <r>
    <n v="266"/>
    <s v="NORA"/>
    <s v="HERRERA"/>
    <x v="1"/>
    <n v="28"/>
  </r>
  <r>
    <n v="267"/>
    <s v="MARGIE"/>
    <s v="WADE"/>
    <x v="0"/>
    <n v="36"/>
  </r>
  <r>
    <n v="268"/>
    <s v="NINA"/>
    <s v="SOTO"/>
    <x v="0"/>
    <n v="29"/>
  </r>
  <r>
    <n v="269"/>
    <s v="CASSANDRA"/>
    <s v="WALTERS"/>
    <x v="0"/>
    <n v="30"/>
  </r>
  <r>
    <n v="273"/>
    <s v="PRISCILLA"/>
    <s v="LOWE"/>
    <x v="1"/>
    <n v="35"/>
  </r>
  <r>
    <n v="274"/>
    <s v="NAOMI"/>
    <s v="JENNINGS"/>
    <x v="0"/>
    <n v="35"/>
  </r>
  <r>
    <n v="275"/>
    <s v="CAROLE"/>
    <s v="BARNETT"/>
    <x v="1"/>
    <n v="30"/>
  </r>
  <r>
    <n v="276"/>
    <s v="BRANDY"/>
    <s v="GRAVES"/>
    <x v="0"/>
    <n v="28"/>
  </r>
  <r>
    <n v="277"/>
    <s v="OLGA"/>
    <s v="JIMENEZ"/>
    <x v="1"/>
    <n v="32"/>
  </r>
  <r>
    <n v="279"/>
    <s v="DIANNE"/>
    <s v="SHELTON"/>
    <x v="1"/>
    <n v="31"/>
  </r>
  <r>
    <n v="280"/>
    <s v="TRACEY"/>
    <s v="BARRETT"/>
    <x v="1"/>
    <n v="27"/>
  </r>
  <r>
    <n v="282"/>
    <s v="JENNY"/>
    <s v="CASTRO"/>
    <x v="1"/>
    <n v="27"/>
  </r>
  <r>
    <n v="283"/>
    <s v="FELICIA"/>
    <s v="SUTTON"/>
    <x v="0"/>
    <n v="28"/>
  </r>
  <r>
    <n v="284"/>
    <s v="SONIA"/>
    <s v="GREGORY"/>
    <x v="0"/>
    <n v="28"/>
  </r>
  <r>
    <n v="286"/>
    <s v="VELMA"/>
    <s v="LUCAS"/>
    <x v="0"/>
    <n v="27"/>
  </r>
  <r>
    <n v="287"/>
    <s v="BECKY"/>
    <s v="MILES"/>
    <x v="1"/>
    <n v="29"/>
  </r>
  <r>
    <n v="289"/>
    <s v="VIOLET"/>
    <s v="RODRIQUEZ"/>
    <x v="0"/>
    <n v="30"/>
  </r>
  <r>
    <n v="290"/>
    <s v="KRISTINA"/>
    <s v="CHAMBERS"/>
    <x v="0"/>
    <n v="28"/>
  </r>
  <r>
    <n v="292"/>
    <s v="MISTY"/>
    <s v="LAMBERT"/>
    <x v="1"/>
    <n v="27"/>
  </r>
  <r>
    <n v="293"/>
    <s v="MAE"/>
    <s v="FLETCHER"/>
    <x v="1"/>
    <n v="31"/>
  </r>
  <r>
    <n v="295"/>
    <s v="DAISY"/>
    <s v="BATES"/>
    <x v="0"/>
    <n v="38"/>
  </r>
  <r>
    <n v="296"/>
    <s v="RAMONA"/>
    <s v="HALE"/>
    <x v="1"/>
    <n v="30"/>
  </r>
  <r>
    <n v="297"/>
    <s v="SHERRI"/>
    <s v="RHODES"/>
    <x v="0"/>
    <n v="33"/>
  </r>
  <r>
    <n v="299"/>
    <s v="JAMES"/>
    <s v="GANNON"/>
    <x v="1"/>
    <n v="30"/>
  </r>
  <r>
    <n v="300"/>
    <s v="JOHN"/>
    <s v="FARNSWORTH"/>
    <x v="0"/>
    <n v="31"/>
  </r>
  <r>
    <n v="302"/>
    <s v="MICHAEL"/>
    <s v="SILVERMAN"/>
    <x v="0"/>
    <n v="29"/>
  </r>
  <r>
    <n v="306"/>
    <s v="CHARLES"/>
    <s v="KOWALSKI"/>
    <x v="0"/>
    <n v="32"/>
  </r>
  <r>
    <n v="307"/>
    <s v="JOSEPH"/>
    <s v="JOY"/>
    <x v="1"/>
    <n v="30"/>
  </r>
  <r>
    <n v="309"/>
    <s v="CHRISTOPHER"/>
    <s v="GRECO"/>
    <x v="0"/>
    <n v="31"/>
  </r>
  <r>
    <n v="314"/>
    <s v="GEORGE"/>
    <s v="LINTON"/>
    <x v="0"/>
    <n v="33"/>
  </r>
  <r>
    <n v="316"/>
    <s v="STEVEN"/>
    <s v="CURLEY"/>
    <x v="0"/>
    <n v="29"/>
  </r>
  <r>
    <n v="317"/>
    <s v="EDWARD"/>
    <s v="BAUGH"/>
    <x v="1"/>
    <n v="28"/>
  </r>
  <r>
    <n v="319"/>
    <s v="RONALD"/>
    <s v="WEINER"/>
    <x v="1"/>
    <n v="30"/>
  </r>
  <r>
    <n v="322"/>
    <s v="JASON"/>
    <s v="MORRISSEY"/>
    <x v="0"/>
    <n v="28"/>
  </r>
  <r>
    <n v="323"/>
    <s v="MATTHEW"/>
    <s v="MAHAN"/>
    <x v="1"/>
    <n v="31"/>
  </r>
  <r>
    <n v="329"/>
    <s v="FRANK"/>
    <s v="WAGGONER"/>
    <x v="1"/>
    <n v="32"/>
  </r>
  <r>
    <n v="331"/>
    <s v="ERIC"/>
    <s v="ROBERT"/>
    <x v="0"/>
    <n v="27"/>
  </r>
  <r>
    <n v="332"/>
    <s v="STEPHEN"/>
    <s v="QUALLS"/>
    <x v="0"/>
    <n v="28"/>
  </r>
  <r>
    <n v="333"/>
    <s v="ANDREW"/>
    <s v="PURDY"/>
    <x v="1"/>
    <n v="27"/>
  </r>
  <r>
    <n v="334"/>
    <s v="RAYMOND"/>
    <s v="MCWHORTER"/>
    <x v="1"/>
    <n v="30"/>
  </r>
  <r>
    <n v="336"/>
    <s v="JOSHUA"/>
    <s v="MARK"/>
    <x v="0"/>
    <n v="30"/>
  </r>
  <r>
    <n v="337"/>
    <s v="JERRY"/>
    <s v="JORDON"/>
    <x v="0"/>
    <n v="29"/>
  </r>
  <r>
    <n v="338"/>
    <s v="DENNIS"/>
    <s v="GILMAN"/>
    <x v="0"/>
    <n v="28"/>
  </r>
  <r>
    <n v="339"/>
    <s v="WALTER"/>
    <s v="PERRYMAN"/>
    <x v="1"/>
    <n v="30"/>
  </r>
  <r>
    <n v="340"/>
    <s v="PATRICK"/>
    <s v="NEWSOM"/>
    <x v="0"/>
    <n v="31"/>
  </r>
  <r>
    <n v="342"/>
    <s v="HAROLD"/>
    <s v="MARTINO"/>
    <x v="0"/>
    <n v="32"/>
  </r>
  <r>
    <n v="346"/>
    <s v="ARTHUR"/>
    <s v="SIMPKINS"/>
    <x v="0"/>
    <n v="32"/>
  </r>
  <r>
    <n v="347"/>
    <s v="RYAN"/>
    <s v="SALISBURY"/>
    <x v="1"/>
    <n v="30"/>
  </r>
  <r>
    <n v="348"/>
    <s v="ROGER"/>
    <s v="QUINTANILLA"/>
    <x v="1"/>
    <n v="36"/>
  </r>
  <r>
    <n v="349"/>
    <s v="JOE"/>
    <s v="GILLILAND"/>
    <x v="1"/>
    <n v="29"/>
  </r>
  <r>
    <n v="354"/>
    <s v="JUSTIN"/>
    <s v="NGO"/>
    <x v="1"/>
    <n v="36"/>
  </r>
  <r>
    <n v="356"/>
    <s v="GERALD"/>
    <s v="FULTZ"/>
    <x v="1"/>
    <n v="30"/>
  </r>
  <r>
    <n v="360"/>
    <s v="RALPH"/>
    <s v="MADRIGAL"/>
    <x v="1"/>
    <n v="34"/>
  </r>
  <r>
    <n v="361"/>
    <s v="LAWRENCE"/>
    <s v="LAWTON"/>
    <x v="1"/>
    <n v="31"/>
  </r>
  <r>
    <n v="362"/>
    <s v="NICHOLAS"/>
    <s v="BARFIELD"/>
    <x v="0"/>
    <n v="32"/>
  </r>
  <r>
    <n v="363"/>
    <s v="ROY"/>
    <s v="WHITING"/>
    <x v="1"/>
    <n v="29"/>
  </r>
  <r>
    <n v="366"/>
    <s v="BRANDON"/>
    <s v="HUEY"/>
    <x v="0"/>
    <n v="37"/>
  </r>
  <r>
    <n v="368"/>
    <s v="HARRY"/>
    <s v="ARCE"/>
    <x v="0"/>
    <n v="35"/>
  </r>
  <r>
    <n v="371"/>
    <s v="BILLY"/>
    <s v="POULIN"/>
    <x v="0"/>
    <n v="35"/>
  </r>
  <r>
    <n v="372"/>
    <s v="STEVE"/>
    <s v="MACKENZIE"/>
    <x v="1"/>
    <n v="34"/>
  </r>
  <r>
    <n v="373"/>
    <s v="LOUIS"/>
    <s v="LEONE"/>
    <x v="0"/>
    <n v="35"/>
  </r>
  <r>
    <n v="374"/>
    <s v="JEREMY"/>
    <s v="HURTADO"/>
    <x v="1"/>
    <n v="28"/>
  </r>
  <r>
    <n v="376"/>
    <s v="RANDY"/>
    <s v="GAITHER"/>
    <x v="0"/>
    <n v="28"/>
  </r>
  <r>
    <n v="380"/>
    <s v="RUSSELL"/>
    <s v="BRINSON"/>
    <x v="0"/>
    <n v="36"/>
  </r>
  <r>
    <n v="381"/>
    <s v="BOBBY"/>
    <s v="BOUDREAU"/>
    <x v="1"/>
    <n v="35"/>
  </r>
  <r>
    <n v="383"/>
    <s v="MARTIN"/>
    <s v="BALES"/>
    <x v="0"/>
    <n v="27"/>
  </r>
  <r>
    <n v="386"/>
    <s v="TODD"/>
    <s v="TAN"/>
    <x v="0"/>
    <n v="29"/>
  </r>
  <r>
    <n v="388"/>
    <s v="CRAIG"/>
    <s v="MORRELL"/>
    <x v="1"/>
    <n v="30"/>
  </r>
  <r>
    <n v="390"/>
    <s v="SHAWN"/>
    <s v="HEATON"/>
    <x v="0"/>
    <n v="33"/>
  </r>
  <r>
    <n v="391"/>
    <s v="CLARENCE"/>
    <s v="GAMEZ"/>
    <x v="0"/>
    <n v="30"/>
  </r>
  <r>
    <n v="393"/>
    <s v="PHILIP"/>
    <s v="CAUSEY"/>
    <x v="0"/>
    <n v="31"/>
  </r>
  <r>
    <n v="396"/>
    <s v="EARL"/>
    <s v="SHANKS"/>
    <x v="0"/>
    <n v="27"/>
  </r>
  <r>
    <n v="397"/>
    <s v="JIMMY"/>
    <s v="SCHRADER"/>
    <x v="0"/>
    <n v="29"/>
  </r>
  <r>
    <n v="400"/>
    <s v="BRYAN"/>
    <s v="HARDISON"/>
    <x v="1"/>
    <n v="28"/>
  </r>
  <r>
    <n v="403"/>
    <s v="MIKE"/>
    <s v="WAY"/>
    <x v="0"/>
    <n v="35"/>
  </r>
  <r>
    <n v="404"/>
    <s v="STANLEY"/>
    <s v="SCROGGINS"/>
    <x v="1"/>
    <n v="30"/>
  </r>
  <r>
    <n v="405"/>
    <s v="LEONARD"/>
    <s v="SCHOFIELD"/>
    <x v="0"/>
    <n v="32"/>
  </r>
  <r>
    <n v="406"/>
    <s v="NATHAN"/>
    <s v="RUNYON"/>
    <x v="0"/>
    <n v="32"/>
  </r>
  <r>
    <n v="407"/>
    <s v="DALE"/>
    <s v="RATCLIFF"/>
    <x v="0"/>
    <n v="27"/>
  </r>
  <r>
    <n v="408"/>
    <s v="MANUEL"/>
    <s v="MURRELL"/>
    <x v="0"/>
    <n v="30"/>
  </r>
  <r>
    <n v="410"/>
    <s v="CURTIS"/>
    <s v="IRBY"/>
    <x v="1"/>
    <n v="38"/>
  </r>
  <r>
    <n v="416"/>
    <s v="JEFFERY"/>
    <s v="PINSON"/>
    <x v="1"/>
    <n v="31"/>
  </r>
  <r>
    <n v="418"/>
    <s v="JEFF"/>
    <s v="EAST"/>
    <x v="1"/>
    <n v="30"/>
  </r>
  <r>
    <n v="421"/>
    <s v="LEE"/>
    <s v="HAWKS"/>
    <x v="0"/>
    <n v="27"/>
  </r>
  <r>
    <n v="424"/>
    <s v="KYLE"/>
    <s v="SPURLOCK"/>
    <x v="1"/>
    <n v="30"/>
  </r>
  <r>
    <n v="426"/>
    <s v="BRADLEY"/>
    <s v="MOTLEY"/>
    <x v="0"/>
    <n v="27"/>
  </r>
  <r>
    <n v="434"/>
    <s v="EDDIE"/>
    <s v="TOMLIN"/>
    <x v="0"/>
    <n v="27"/>
  </r>
  <r>
    <n v="436"/>
    <s v="TROY"/>
    <s v="QUIGLEY"/>
    <x v="0"/>
    <n v="30"/>
  </r>
  <r>
    <n v="438"/>
    <s v="BARRY"/>
    <s v="LOVELACE"/>
    <x v="0"/>
    <n v="33"/>
  </r>
  <r>
    <n v="439"/>
    <s v="ALEXANDER"/>
    <s v="FENNELL"/>
    <x v="1"/>
    <n v="36"/>
  </r>
  <r>
    <n v="441"/>
    <s v="MARIO"/>
    <s v="CHEATHAM"/>
    <x v="0"/>
    <n v="28"/>
  </r>
  <r>
    <n v="442"/>
    <s v="LEROY"/>
    <s v="BUSTAMANTE"/>
    <x v="0"/>
    <n v="32"/>
  </r>
  <r>
    <n v="444"/>
    <s v="MARCUS"/>
    <s v="HIDALGO"/>
    <x v="1"/>
    <n v="30"/>
  </r>
  <r>
    <n v="446"/>
    <s v="THEODORE"/>
    <s v="CULP"/>
    <x v="1"/>
    <n v="31"/>
  </r>
  <r>
    <n v="447"/>
    <s v="CLIFFORD"/>
    <s v="BOWENS"/>
    <x v="0"/>
    <n v="29"/>
  </r>
  <r>
    <n v="448"/>
    <s v="MIGUEL"/>
    <s v="BETANCOURT"/>
    <x v="0"/>
    <n v="29"/>
  </r>
  <r>
    <n v="451"/>
    <s v="JIM"/>
    <s v="REA"/>
    <x v="0"/>
    <n v="33"/>
  </r>
  <r>
    <n v="452"/>
    <s v="TOM"/>
    <s v="MILNER"/>
    <x v="0"/>
    <n v="32"/>
  </r>
  <r>
    <n v="454"/>
    <s v="ALEX"/>
    <s v="GRESHAM"/>
    <x v="1"/>
    <n v="33"/>
  </r>
  <r>
    <n v="457"/>
    <s v="BILL"/>
    <s v="GAVIN"/>
    <x v="1"/>
    <n v="28"/>
  </r>
  <r>
    <n v="459"/>
    <s v="TOMMY"/>
    <s v="COLLAZO"/>
    <x v="0"/>
    <n v="38"/>
  </r>
  <r>
    <n v="461"/>
    <s v="DEREK"/>
    <s v="BLAKELY"/>
    <x v="0"/>
    <n v="28"/>
  </r>
  <r>
    <n v="462"/>
    <s v="WARREN"/>
    <s v="SHERROD"/>
    <x v="1"/>
    <n v="33"/>
  </r>
  <r>
    <n v="467"/>
    <s v="ALVIN"/>
    <s v="DELOACH"/>
    <x v="1"/>
    <n v="29"/>
  </r>
  <r>
    <n v="468"/>
    <s v="TIM"/>
    <s v="CARY"/>
    <x v="0"/>
    <n v="39"/>
  </r>
  <r>
    <n v="469"/>
    <s v="WESLEY"/>
    <s v="BULL"/>
    <x v="1"/>
    <n v="40"/>
  </r>
  <r>
    <n v="470"/>
    <s v="GORDON"/>
    <s v="ALLARD"/>
    <x v="0"/>
    <n v="32"/>
  </r>
  <r>
    <n v="471"/>
    <s v="DEAN"/>
    <s v="SAUER"/>
    <x v="0"/>
    <n v="27"/>
  </r>
  <r>
    <n v="472"/>
    <s v="GREG"/>
    <s v="ROBINS"/>
    <x v="0"/>
    <n v="30"/>
  </r>
  <r>
    <n v="473"/>
    <s v="JORGE"/>
    <s v="OLIVARES"/>
    <x v="1"/>
    <n v="34"/>
  </r>
  <r>
    <n v="479"/>
    <s v="ZACHARY"/>
    <s v="HITE"/>
    <x v="0"/>
    <n v="31"/>
  </r>
  <r>
    <n v="481"/>
    <s v="HERMAN"/>
    <s v="DEVORE"/>
    <x v="0"/>
    <n v="29"/>
  </r>
  <r>
    <n v="482"/>
    <s v="MAURICE"/>
    <s v="CRAWLEY"/>
    <x v="0"/>
    <n v="29"/>
  </r>
  <r>
    <n v="484"/>
    <s v="ROBERTO"/>
    <s v="VU"/>
    <x v="0"/>
    <n v="30"/>
  </r>
  <r>
    <n v="485"/>
    <s v="CLYDE"/>
    <s v="TOBIAS"/>
    <x v="0"/>
    <n v="29"/>
  </r>
  <r>
    <n v="491"/>
    <s v="RICK"/>
    <s v="MATTOX"/>
    <x v="1"/>
    <n v="27"/>
  </r>
  <r>
    <n v="494"/>
    <s v="RAMON"/>
    <s v="CHOATE"/>
    <x v="1"/>
    <n v="31"/>
  </r>
  <r>
    <n v="497"/>
    <s v="GILBERT"/>
    <s v="SLEDGE"/>
    <x v="1"/>
    <n v="28"/>
  </r>
  <r>
    <n v="498"/>
    <s v="GENE"/>
    <s v="SANBORN"/>
    <x v="0"/>
    <n v="27"/>
  </r>
  <r>
    <n v="499"/>
    <s v="MARC"/>
    <s v="OUTLAW"/>
    <x v="1"/>
    <n v="30"/>
  </r>
  <r>
    <n v="500"/>
    <s v="REGINALD"/>
    <s v="KINDER"/>
    <x v="0"/>
    <n v="28"/>
  </r>
  <r>
    <n v="502"/>
    <s v="BRETT"/>
    <s v="CORNWELL"/>
    <x v="0"/>
    <n v="34"/>
  </r>
  <r>
    <n v="503"/>
    <s v="ANGEL"/>
    <s v="BARCLAY"/>
    <x v="0"/>
    <n v="32"/>
  </r>
  <r>
    <n v="504"/>
    <s v="NATHANIEL"/>
    <s v="ADAM"/>
    <x v="0"/>
    <n v="28"/>
  </r>
  <r>
    <n v="506"/>
    <s v="LESLIE"/>
    <s v="SEWARD"/>
    <x v="1"/>
    <n v="35"/>
  </r>
  <r>
    <n v="513"/>
    <s v="DUANE"/>
    <s v="TUBBS"/>
    <x v="1"/>
    <n v="31"/>
  </r>
  <r>
    <n v="515"/>
    <s v="ANDRE"/>
    <s v="RAPP"/>
    <x v="0"/>
    <n v="28"/>
  </r>
  <r>
    <n v="520"/>
    <s v="MITCHELL"/>
    <s v="WESTMORELAND"/>
    <x v="1"/>
    <n v="32"/>
  </r>
  <r>
    <n v="522"/>
    <s v="ARNOLD"/>
    <s v="HAVENS"/>
    <x v="1"/>
    <n v="33"/>
  </r>
  <r>
    <n v="526"/>
    <s v="KARL"/>
    <s v="SEAL"/>
    <x v="1"/>
    <n v="45"/>
  </r>
  <r>
    <n v="529"/>
    <s v="ERIK"/>
    <s v="GUILLEN"/>
    <x v="1"/>
    <n v="29"/>
  </r>
  <r>
    <n v="532"/>
    <s v="NEIL"/>
    <s v="RENNER"/>
    <x v="1"/>
    <n v="32"/>
  </r>
  <r>
    <n v="533"/>
    <s v="JESSIE"/>
    <s v="MILAM"/>
    <x v="0"/>
    <n v="33"/>
  </r>
  <r>
    <n v="535"/>
    <s v="JAVIER"/>
    <s v="ELROD"/>
    <x v="0"/>
    <n v="32"/>
  </r>
  <r>
    <n v="538"/>
    <s v="TED"/>
    <s v="BREAUX"/>
    <x v="1"/>
    <n v="29"/>
  </r>
  <r>
    <n v="550"/>
    <s v="GUY"/>
    <s v="BROWNLEE"/>
    <x v="1"/>
    <n v="32"/>
  </r>
  <r>
    <n v="558"/>
    <s v="JIMMIE"/>
    <s v="EGGLESTON"/>
    <x v="0"/>
    <n v="28"/>
  </r>
  <r>
    <n v="559"/>
    <s v="EVERETT"/>
    <s v="BANDA"/>
    <x v="1"/>
    <n v="28"/>
  </r>
  <r>
    <n v="560"/>
    <s v="JORDAN"/>
    <s v="ARCHULETA"/>
    <x v="0"/>
    <n v="30"/>
  </r>
  <r>
    <n v="561"/>
    <s v="IAN"/>
    <s v="STILL"/>
    <x v="1"/>
    <n v="27"/>
  </r>
  <r>
    <n v="563"/>
    <s v="KEN"/>
    <s v="PREWITT"/>
    <x v="1"/>
    <n v="29"/>
  </r>
  <r>
    <n v="565"/>
    <s v="JAIME"/>
    <s v="NETTLES"/>
    <x v="1"/>
    <n v="29"/>
  </r>
  <r>
    <n v="566"/>
    <s v="CASEY"/>
    <s v="MENA"/>
    <x v="0"/>
    <n v="34"/>
  </r>
  <r>
    <n v="569"/>
    <s v="DAVE"/>
    <s v="GARDINER"/>
    <x v="1"/>
    <n v="32"/>
  </r>
  <r>
    <n v="573"/>
    <s v="BYRON"/>
    <s v="BOX"/>
    <x v="0"/>
    <n v="29"/>
  </r>
  <r>
    <n v="574"/>
    <s v="JULIAN"/>
    <s v="VEST"/>
    <x v="1"/>
    <n v="28"/>
  </r>
  <r>
    <n v="575"/>
    <s v="ISAAC"/>
    <s v="OGLESBY"/>
    <x v="1"/>
    <n v="29"/>
  </r>
  <r>
    <n v="576"/>
    <s v="MORRIS"/>
    <s v="MCCARTER"/>
    <x v="1"/>
    <n v="34"/>
  </r>
  <r>
    <n v="577"/>
    <s v="CLIFTON"/>
    <s v="MALCOLM"/>
    <x v="1"/>
    <n v="27"/>
  </r>
  <r>
    <n v="579"/>
    <s v="DARYL"/>
    <s v="LARUE"/>
    <x v="1"/>
    <n v="27"/>
  </r>
  <r>
    <n v="580"/>
    <s v="ROSS"/>
    <s v="GREY"/>
    <x v="0"/>
    <n v="27"/>
  </r>
  <r>
    <n v="581"/>
    <s v="VIRGIL"/>
    <s v="WOFFORD"/>
    <x v="0"/>
    <n v="27"/>
  </r>
  <r>
    <n v="584"/>
    <s v="SALVADOR"/>
    <s v="TEEL"/>
    <x v="1"/>
    <n v="30"/>
  </r>
  <r>
    <n v="588"/>
    <s v="MARION"/>
    <s v="OCAMPO"/>
    <x v="0"/>
    <n v="29"/>
  </r>
  <r>
    <n v="589"/>
    <s v="TRACY"/>
    <s v="HERRMANN"/>
    <x v="0"/>
    <n v="28"/>
  </r>
  <r>
    <n v="591"/>
    <s v="KENT"/>
    <s v="ARSENAULT"/>
    <x v="0"/>
    <n v="27"/>
  </r>
  <r>
    <n v="592"/>
    <s v="TERRANCE"/>
    <s v="ROUSH"/>
    <x v="0"/>
    <n v="29"/>
  </r>
  <r>
    <n v="594"/>
    <s v="EDUARDO"/>
    <s v="HIATT"/>
    <x v="0"/>
    <n v="27"/>
  </r>
  <r>
    <n v="595"/>
    <s v="TERRENCE"/>
    <s v="GUNDERSON"/>
    <x v="0"/>
    <n v="30"/>
  </r>
  <r>
    <n v="596"/>
    <s v="ENRIQUE"/>
    <s v="FORSYTHE"/>
    <x v="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9CAA6-ADAF-44C9-866A-4F0C3ED71B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5:H8" firstHeaderRow="1" firstDataRow="1" firstDataCol="1"/>
  <pivotFields count="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umber of Customer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49B2B-1E52-4190-9376-887D6A0B4548}" name="Table1" displayName="Table1" ref="A1:D286" totalsRowShown="0">
  <autoFilter ref="A1:D286" xr:uid="{30649B2B-1E52-4190-9376-887D6A0B4548}"/>
  <sortState xmlns:xlrd2="http://schemas.microsoft.com/office/spreadsheetml/2017/richdata2" ref="A2:D286">
    <sortCondition descending="1" ref="D1:D286"/>
  </sortState>
  <tableColumns count="4">
    <tableColumn id="1" xr3:uid="{B93A410F-56DA-410A-9096-C91946F4E079}" name="customer_id"/>
    <tableColumn id="2" xr3:uid="{94C501A9-71E1-4766-8A61-5729770CAB8C}" name="first_name"/>
    <tableColumn id="3" xr3:uid="{A3665829-8578-4017-8FA1-A632233890E7}" name="last_name"/>
    <tableColumn id="4" xr3:uid="{F3E57DFD-D241-4F54-B9DD-B57A57E50EB3}" name="total_payme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9632EB-DC0B-444F-9671-0B4555E9034D}" name="Table2" displayName="Table2" ref="A1:D11" totalsRowShown="0">
  <autoFilter ref="A1:D11" xr:uid="{919632EB-DC0B-444F-9671-0B4555E9034D}"/>
  <tableColumns count="4">
    <tableColumn id="1" xr3:uid="{B1208BE0-82E2-416F-81C9-2EA6E50E5BB2}" name="title"/>
    <tableColumn id="2" xr3:uid="{8635DF6A-B33B-49AA-A1F4-C5650C8FA589}" name="rental_count"/>
    <tableColumn id="3" xr3:uid="{C01DCB4D-C558-43EE-AA41-96585E58569B}" name="overall_average"/>
    <tableColumn id="4" xr3:uid="{9C769C2B-ED31-435E-9398-5CDCCB9F8982}" name="compari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45CAF5-391F-4B58-883B-F1346A0A6B35}" name="Table3" displayName="Table3" ref="A1:B43" totalsRowShown="0">
  <autoFilter ref="A1:B43" xr:uid="{4045CAF5-391F-4B58-883B-F1346A0A6B35}"/>
  <tableColumns count="2">
    <tableColumn id="1" xr3:uid="{C08FA6D9-4D1D-434F-9C92-845569744817}" name="film_id"/>
    <tableColumn id="2" xr3:uid="{C565E84E-AD0E-439C-A567-CFE609FBAFC7}" name="tit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88C1FE-5ECE-460B-937B-91E47B2D9481}" name="Table4" displayName="Table4" ref="A1:E297" totalsRowShown="0">
  <autoFilter ref="A1:E297" xr:uid="{F688C1FE-5ECE-460B-937B-91E47B2D9481}"/>
  <tableColumns count="5">
    <tableColumn id="1" xr3:uid="{0A255447-5C47-4647-8485-0ABF23D64336}" name="customer_id"/>
    <tableColumn id="2" xr3:uid="{210CB147-F3A3-460E-B2B9-C06937C257CF}" name="first_name"/>
    <tableColumn id="3" xr3:uid="{16816491-95B0-494E-B486-276C8C17BAB6}" name="last_name"/>
    <tableColumn id="4" xr3:uid="{B99A72C0-5A61-4DDB-9C65-F5110C0E60EB}" name="store_id"/>
    <tableColumn id="5" xr3:uid="{17B92E12-B100-4052-8BC3-E3223B150321}" name="rental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24A174-15FD-42E1-ABD2-CAEEBB491D2A}" name="Table5" displayName="Table5" ref="A1:E17" totalsRowShown="0">
  <autoFilter ref="A1:E17" xr:uid="{CA24A174-15FD-42E1-ABD2-CAEEBB491D2A}"/>
  <sortState xmlns:xlrd2="http://schemas.microsoft.com/office/spreadsheetml/2017/richdata2" ref="A2:E17">
    <sortCondition descending="1" ref="B2:B17"/>
  </sortState>
  <tableColumns count="5">
    <tableColumn id="1" xr3:uid="{4DD3F785-241B-4279-9A43-00DB51D271F4}" name="category_name"/>
    <tableColumn id="2" xr3:uid="{09F3199F-2C8C-4359-9DB7-BAC7670961CF}" name="category_revenue"/>
    <tableColumn id="3" xr3:uid="{39FC8150-6C7C-4AEE-9967-0184189BA594}" name="total_store_revenue"/>
    <tableColumn id="5" xr3:uid="{B404CCA7-B63B-4A13-921E-BA852FB84984}" name="revenue_contribution (%)"/>
    <tableColumn id="4" xr3:uid="{0F38A3F6-0154-428D-9B5F-8DF232F4872E}" name="cumulative (%)" dataDxfId="1" dataCellStyle="Percent">
      <calculatedColumnFormula>SUM($D$2:D2)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8CEF1A-62DD-4200-8488-706F4145D2E9}" name="Table6" displayName="Table6" ref="A1:D2" totalsRowShown="0">
  <autoFilter ref="A1:D2" xr:uid="{278CEF1A-62DD-4200-8488-706F4145D2E9}"/>
  <tableColumns count="4">
    <tableColumn id="1" xr3:uid="{C9D159D8-71E8-408D-A6E9-162F55CF4B2E}" name="staff_id"/>
    <tableColumn id="2" xr3:uid="{BDA20FE2-CAB0-4AFB-B207-F517C3C5C4CF}" name="first_name"/>
    <tableColumn id="3" xr3:uid="{89675207-3113-48F8-B78A-65D6157B8B9C}" name="last_name"/>
    <tableColumn id="4" xr3:uid="{AE0B4598-313D-4043-BF28-D51D9C6681F4}" name="transaction_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459830-E0D9-425F-B5A0-11BDCE241CED}" name="Table7" displayName="Table7" ref="A1:E600" totalsRowShown="0">
  <autoFilter ref="A1:E600" xr:uid="{AB459830-E0D9-425F-B5A0-11BDCE241CED}"/>
  <sortState xmlns:xlrd2="http://schemas.microsoft.com/office/spreadsheetml/2017/richdata2" ref="A2:E600">
    <sortCondition ref="E1:E600"/>
  </sortState>
  <tableColumns count="5">
    <tableColumn id="1" xr3:uid="{B3754C8C-A323-43CC-BD0B-736E4DD85D71}" name="customer_id"/>
    <tableColumn id="2" xr3:uid="{4A7B7EE6-67E6-48E8-8FD8-DD2AC3C2362D}" name="first_name"/>
    <tableColumn id="3" xr3:uid="{8AA1C506-5759-4C04-93F2-75A2B05862BB}" name="last_name"/>
    <tableColumn id="4" xr3:uid="{45080554-6D8C-42DA-9B17-47F9F38224BE}" name="total_spent" dataDxfId="0"/>
    <tableColumn id="5" xr3:uid="{461D1BB6-873D-4933-9E16-C4D848A9266A}" name="lifetime_value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BFAC-75F4-4BFF-A09B-B188B307F78B}">
  <dimension ref="A1:I286"/>
  <sheetViews>
    <sheetView workbookViewId="0">
      <selection activeCell="L21" sqref="L21"/>
    </sheetView>
  </sheetViews>
  <sheetFormatPr defaultRowHeight="14.5"/>
  <cols>
    <col min="1" max="1" width="13.1796875" customWidth="1"/>
    <col min="2" max="2" width="11.7265625" customWidth="1"/>
    <col min="3" max="3" width="11.453125" customWidth="1"/>
    <col min="4" max="4" width="14.81640625" style="11" customWidth="1"/>
  </cols>
  <sheetData>
    <row r="1" spans="1:4">
      <c r="A1" t="s">
        <v>0</v>
      </c>
      <c r="B1" t="s">
        <v>60</v>
      </c>
      <c r="C1" t="s">
        <v>61</v>
      </c>
      <c r="D1" s="11" t="s">
        <v>1</v>
      </c>
    </row>
    <row r="2" spans="1:4">
      <c r="A2">
        <v>526</v>
      </c>
      <c r="B2" t="s">
        <v>582</v>
      </c>
      <c r="C2" t="s">
        <v>583</v>
      </c>
      <c r="D2" s="11">
        <v>221.55</v>
      </c>
    </row>
    <row r="3" spans="1:4">
      <c r="A3">
        <v>148</v>
      </c>
      <c r="B3" t="s">
        <v>229</v>
      </c>
      <c r="C3" t="s">
        <v>230</v>
      </c>
      <c r="D3" s="11">
        <v>216.54</v>
      </c>
    </row>
    <row r="4" spans="1:4">
      <c r="A4">
        <v>144</v>
      </c>
      <c r="B4" t="s">
        <v>221</v>
      </c>
      <c r="C4" t="s">
        <v>222</v>
      </c>
      <c r="D4" s="11">
        <v>195.58</v>
      </c>
    </row>
    <row r="5" spans="1:4">
      <c r="A5">
        <v>137</v>
      </c>
      <c r="B5" t="s">
        <v>213</v>
      </c>
      <c r="C5" t="s">
        <v>214</v>
      </c>
      <c r="D5" s="11">
        <v>194.61</v>
      </c>
    </row>
    <row r="6" spans="1:4">
      <c r="A6">
        <v>178</v>
      </c>
      <c r="B6" t="s">
        <v>257</v>
      </c>
      <c r="C6" t="s">
        <v>258</v>
      </c>
      <c r="D6" s="11">
        <v>194.61</v>
      </c>
    </row>
    <row r="7" spans="1:4">
      <c r="A7">
        <v>459</v>
      </c>
      <c r="B7" t="s">
        <v>527</v>
      </c>
      <c r="C7" t="s">
        <v>528</v>
      </c>
      <c r="D7" s="11">
        <v>186.62</v>
      </c>
    </row>
    <row r="8" spans="1:4">
      <c r="A8">
        <v>469</v>
      </c>
      <c r="B8" t="s">
        <v>536</v>
      </c>
      <c r="C8" t="s">
        <v>537</v>
      </c>
      <c r="D8" s="11">
        <v>177.6</v>
      </c>
    </row>
    <row r="9" spans="1:4">
      <c r="A9">
        <v>468</v>
      </c>
      <c r="B9" t="s">
        <v>534</v>
      </c>
      <c r="C9" t="s">
        <v>535</v>
      </c>
      <c r="D9" s="11">
        <v>175.61</v>
      </c>
    </row>
    <row r="10" spans="1:4">
      <c r="A10">
        <v>236</v>
      </c>
      <c r="B10" t="s">
        <v>301</v>
      </c>
      <c r="C10" t="s">
        <v>302</v>
      </c>
      <c r="D10" s="11">
        <v>175.58</v>
      </c>
    </row>
    <row r="11" spans="1:4">
      <c r="A11">
        <v>181</v>
      </c>
      <c r="B11" t="s">
        <v>261</v>
      </c>
      <c r="C11" t="s">
        <v>262</v>
      </c>
      <c r="D11" s="11">
        <v>174.66</v>
      </c>
    </row>
    <row r="12" spans="1:4">
      <c r="A12">
        <v>176</v>
      </c>
      <c r="B12" t="s">
        <v>255</v>
      </c>
      <c r="C12" t="s">
        <v>256</v>
      </c>
      <c r="D12" s="11">
        <v>173.63</v>
      </c>
    </row>
    <row r="13" spans="1:4">
      <c r="A13">
        <v>50</v>
      </c>
      <c r="B13" t="s">
        <v>121</v>
      </c>
      <c r="C13" t="s">
        <v>122</v>
      </c>
      <c r="D13" s="11">
        <v>169.65</v>
      </c>
    </row>
    <row r="14" spans="1:4">
      <c r="A14">
        <v>259</v>
      </c>
      <c r="B14" t="s">
        <v>325</v>
      </c>
      <c r="C14" t="s">
        <v>326</v>
      </c>
      <c r="D14" s="11">
        <v>168.68</v>
      </c>
    </row>
    <row r="15" spans="1:4">
      <c r="A15">
        <v>522</v>
      </c>
      <c r="B15" t="s">
        <v>580</v>
      </c>
      <c r="C15" t="s">
        <v>581</v>
      </c>
      <c r="D15" s="11">
        <v>167.67</v>
      </c>
    </row>
    <row r="16" spans="1:4">
      <c r="A16">
        <v>410</v>
      </c>
      <c r="B16" t="s">
        <v>489</v>
      </c>
      <c r="C16" t="s">
        <v>490</v>
      </c>
      <c r="D16" s="11">
        <v>167.62</v>
      </c>
    </row>
    <row r="17" spans="1:9">
      <c r="A17">
        <v>403</v>
      </c>
      <c r="B17" t="s">
        <v>478</v>
      </c>
      <c r="C17" t="s">
        <v>479</v>
      </c>
      <c r="D17" s="11">
        <v>166.65</v>
      </c>
    </row>
    <row r="18" spans="1:9">
      <c r="A18">
        <v>295</v>
      </c>
      <c r="B18" t="s">
        <v>374</v>
      </c>
      <c r="C18" t="s">
        <v>375</v>
      </c>
      <c r="D18" s="11">
        <v>162.62</v>
      </c>
    </row>
    <row r="19" spans="1:9">
      <c r="A19">
        <v>209</v>
      </c>
      <c r="B19" t="s">
        <v>283</v>
      </c>
      <c r="C19" t="s">
        <v>284</v>
      </c>
      <c r="D19" s="11">
        <v>161.68</v>
      </c>
    </row>
    <row r="20" spans="1:9">
      <c r="A20">
        <v>373</v>
      </c>
      <c r="B20" t="s">
        <v>451</v>
      </c>
      <c r="C20" t="s">
        <v>452</v>
      </c>
      <c r="D20" s="11">
        <v>161.65</v>
      </c>
      <c r="F20" s="13" t="s">
        <v>1229</v>
      </c>
      <c r="I20" s="13" t="s">
        <v>1230</v>
      </c>
    </row>
    <row r="21" spans="1:9">
      <c r="A21">
        <v>470</v>
      </c>
      <c r="B21" t="s">
        <v>538</v>
      </c>
      <c r="C21" t="s">
        <v>539</v>
      </c>
      <c r="D21" s="11">
        <v>160.68</v>
      </c>
      <c r="F21">
        <f>COUNTA(A2:A286)</f>
        <v>285</v>
      </c>
      <c r="I21" s="12">
        <f>MAX(D2:D286)</f>
        <v>221.55</v>
      </c>
    </row>
    <row r="22" spans="1:9">
      <c r="A22">
        <v>187</v>
      </c>
      <c r="B22" t="s">
        <v>265</v>
      </c>
      <c r="C22" t="s">
        <v>266</v>
      </c>
      <c r="D22" s="11">
        <v>159.72</v>
      </c>
    </row>
    <row r="23" spans="1:9">
      <c r="A23">
        <v>550</v>
      </c>
      <c r="B23" t="s">
        <v>594</v>
      </c>
      <c r="C23" t="s">
        <v>595</v>
      </c>
      <c r="D23" s="11">
        <v>159.68</v>
      </c>
    </row>
    <row r="24" spans="1:9">
      <c r="A24">
        <v>462</v>
      </c>
      <c r="B24" t="s">
        <v>216</v>
      </c>
      <c r="C24" t="s">
        <v>531</v>
      </c>
      <c r="D24" s="11">
        <v>159.66999999999999</v>
      </c>
    </row>
    <row r="25" spans="1:9">
      <c r="A25">
        <v>267</v>
      </c>
      <c r="B25" t="s">
        <v>336</v>
      </c>
      <c r="C25" t="s">
        <v>337</v>
      </c>
      <c r="D25" s="11">
        <v>159.63999999999999</v>
      </c>
    </row>
    <row r="26" spans="1:9">
      <c r="A26">
        <v>293</v>
      </c>
      <c r="B26" t="s">
        <v>372</v>
      </c>
      <c r="C26" t="s">
        <v>373</v>
      </c>
      <c r="D26" s="11">
        <v>158.69</v>
      </c>
    </row>
    <row r="27" spans="1:9">
      <c r="A27">
        <v>372</v>
      </c>
      <c r="B27" t="s">
        <v>449</v>
      </c>
      <c r="C27" t="s">
        <v>450</v>
      </c>
      <c r="D27" s="11">
        <v>158.66</v>
      </c>
    </row>
    <row r="28" spans="1:9">
      <c r="A28">
        <v>273</v>
      </c>
      <c r="B28" t="s">
        <v>342</v>
      </c>
      <c r="C28" t="s">
        <v>343</v>
      </c>
      <c r="D28" s="11">
        <v>157.65</v>
      </c>
    </row>
    <row r="29" spans="1:9">
      <c r="A29">
        <v>368</v>
      </c>
      <c r="B29" t="s">
        <v>445</v>
      </c>
      <c r="C29" t="s">
        <v>446</v>
      </c>
      <c r="D29" s="11">
        <v>157.65</v>
      </c>
    </row>
    <row r="30" spans="1:9">
      <c r="A30">
        <v>346</v>
      </c>
      <c r="B30" t="s">
        <v>423</v>
      </c>
      <c r="C30" t="s">
        <v>424</v>
      </c>
      <c r="D30" s="11">
        <v>155.68</v>
      </c>
    </row>
    <row r="31" spans="1:9">
      <c r="A31">
        <v>21</v>
      </c>
      <c r="B31" t="s">
        <v>85</v>
      </c>
      <c r="C31" t="s">
        <v>86</v>
      </c>
      <c r="D31" s="11">
        <v>155.65</v>
      </c>
    </row>
    <row r="32" spans="1:9">
      <c r="A32">
        <v>75</v>
      </c>
      <c r="B32" t="s">
        <v>149</v>
      </c>
      <c r="C32" t="s">
        <v>150</v>
      </c>
      <c r="D32" s="11">
        <v>155.59</v>
      </c>
    </row>
    <row r="33" spans="1:4">
      <c r="A33">
        <v>197</v>
      </c>
      <c r="B33" t="s">
        <v>271</v>
      </c>
      <c r="C33" t="s">
        <v>272</v>
      </c>
      <c r="D33" s="11">
        <v>154.6</v>
      </c>
    </row>
    <row r="34" spans="1:4">
      <c r="A34">
        <v>119</v>
      </c>
      <c r="B34" t="s">
        <v>191</v>
      </c>
      <c r="C34" t="s">
        <v>192</v>
      </c>
      <c r="D34" s="11">
        <v>153.66</v>
      </c>
    </row>
    <row r="35" spans="1:4">
      <c r="A35">
        <v>532</v>
      </c>
      <c r="B35" t="s">
        <v>586</v>
      </c>
      <c r="C35" t="s">
        <v>587</v>
      </c>
      <c r="D35" s="11">
        <v>152.68</v>
      </c>
    </row>
    <row r="36" spans="1:4">
      <c r="A36">
        <v>390</v>
      </c>
      <c r="B36" t="s">
        <v>466</v>
      </c>
      <c r="C36" t="s">
        <v>467</v>
      </c>
      <c r="D36" s="11">
        <v>152.66999999999999</v>
      </c>
    </row>
    <row r="37" spans="1:4">
      <c r="A37">
        <v>26</v>
      </c>
      <c r="B37" t="s">
        <v>91</v>
      </c>
      <c r="C37" t="s">
        <v>92</v>
      </c>
      <c r="D37" s="11">
        <v>152.66</v>
      </c>
    </row>
    <row r="38" spans="1:4">
      <c r="A38">
        <v>274</v>
      </c>
      <c r="B38" t="s">
        <v>344</v>
      </c>
      <c r="C38" t="s">
        <v>345</v>
      </c>
      <c r="D38" s="11">
        <v>152.65</v>
      </c>
    </row>
    <row r="39" spans="1:4">
      <c r="A39">
        <v>506</v>
      </c>
      <c r="B39" t="s">
        <v>572</v>
      </c>
      <c r="C39" t="s">
        <v>573</v>
      </c>
      <c r="D39" s="11">
        <v>152.65</v>
      </c>
    </row>
    <row r="40" spans="1:4">
      <c r="A40">
        <v>366</v>
      </c>
      <c r="B40" t="s">
        <v>443</v>
      </c>
      <c r="C40" t="s">
        <v>444</v>
      </c>
      <c r="D40" s="11">
        <v>152.63</v>
      </c>
    </row>
    <row r="41" spans="1:4">
      <c r="A41">
        <v>7</v>
      </c>
      <c r="B41" t="s">
        <v>71</v>
      </c>
      <c r="C41" t="s">
        <v>72</v>
      </c>
      <c r="D41" s="11">
        <v>151.66999999999999</v>
      </c>
    </row>
    <row r="42" spans="1:4">
      <c r="A42">
        <v>454</v>
      </c>
      <c r="B42" t="s">
        <v>523</v>
      </c>
      <c r="C42" t="s">
        <v>524</v>
      </c>
      <c r="D42" s="11">
        <v>151.66999999999999</v>
      </c>
    </row>
    <row r="43" spans="1:4">
      <c r="A43">
        <v>211</v>
      </c>
      <c r="B43" t="s">
        <v>287</v>
      </c>
      <c r="C43" t="s">
        <v>288</v>
      </c>
      <c r="D43" s="11">
        <v>151.66</v>
      </c>
    </row>
    <row r="44" spans="1:4">
      <c r="A44">
        <v>196</v>
      </c>
      <c r="B44" t="s">
        <v>269</v>
      </c>
      <c r="C44" t="s">
        <v>270</v>
      </c>
      <c r="D44" s="11">
        <v>151.65</v>
      </c>
    </row>
    <row r="45" spans="1:4">
      <c r="A45">
        <v>439</v>
      </c>
      <c r="B45" t="s">
        <v>172</v>
      </c>
      <c r="C45" t="s">
        <v>506</v>
      </c>
      <c r="D45" s="11">
        <v>151.63999999999999</v>
      </c>
    </row>
    <row r="46" spans="1:4">
      <c r="A46">
        <v>257</v>
      </c>
      <c r="B46" t="s">
        <v>323</v>
      </c>
      <c r="C46" t="s">
        <v>324</v>
      </c>
      <c r="D46" s="11">
        <v>151.63</v>
      </c>
    </row>
    <row r="47" spans="1:4">
      <c r="A47">
        <v>360</v>
      </c>
      <c r="B47" t="s">
        <v>435</v>
      </c>
      <c r="C47" t="s">
        <v>436</v>
      </c>
      <c r="D47" s="11">
        <v>150.66</v>
      </c>
    </row>
    <row r="48" spans="1:4">
      <c r="A48">
        <v>371</v>
      </c>
      <c r="B48" t="s">
        <v>447</v>
      </c>
      <c r="C48" t="s">
        <v>448</v>
      </c>
      <c r="D48" s="11">
        <v>149.65</v>
      </c>
    </row>
    <row r="49" spans="1:4">
      <c r="A49">
        <v>513</v>
      </c>
      <c r="B49" t="s">
        <v>574</v>
      </c>
      <c r="C49" t="s">
        <v>575</v>
      </c>
      <c r="D49" s="11">
        <v>148.69</v>
      </c>
    </row>
    <row r="50" spans="1:4">
      <c r="A50">
        <v>86</v>
      </c>
      <c r="B50" t="s">
        <v>159</v>
      </c>
      <c r="C50" t="s">
        <v>160</v>
      </c>
      <c r="D50" s="11">
        <v>148.66999999999999</v>
      </c>
    </row>
    <row r="51" spans="1:4">
      <c r="A51">
        <v>309</v>
      </c>
      <c r="B51" t="s">
        <v>388</v>
      </c>
      <c r="C51" t="s">
        <v>389</v>
      </c>
      <c r="D51" s="11">
        <v>147.69</v>
      </c>
    </row>
    <row r="52" spans="1:4">
      <c r="A52">
        <v>204</v>
      </c>
      <c r="B52" t="s">
        <v>277</v>
      </c>
      <c r="C52" t="s">
        <v>278</v>
      </c>
      <c r="D52" s="11">
        <v>147.65</v>
      </c>
    </row>
    <row r="53" spans="1:4">
      <c r="A53">
        <v>103</v>
      </c>
      <c r="B53" t="s">
        <v>175</v>
      </c>
      <c r="C53" t="s">
        <v>176</v>
      </c>
      <c r="D53" s="11">
        <v>146.69</v>
      </c>
    </row>
    <row r="54" spans="1:4">
      <c r="A54">
        <v>479</v>
      </c>
      <c r="B54" t="s">
        <v>545</v>
      </c>
      <c r="C54" t="s">
        <v>546</v>
      </c>
      <c r="D54" s="11">
        <v>146.69</v>
      </c>
    </row>
    <row r="55" spans="1:4">
      <c r="A55">
        <v>348</v>
      </c>
      <c r="B55" t="s">
        <v>427</v>
      </c>
      <c r="C55" t="s">
        <v>428</v>
      </c>
      <c r="D55" s="11">
        <v>146.63999999999999</v>
      </c>
    </row>
    <row r="56" spans="1:4">
      <c r="A56">
        <v>87</v>
      </c>
      <c r="B56" t="s">
        <v>161</v>
      </c>
      <c r="C56" t="s">
        <v>162</v>
      </c>
      <c r="D56" s="11">
        <v>145.69999999999999</v>
      </c>
    </row>
    <row r="57" spans="1:4">
      <c r="A57">
        <v>362</v>
      </c>
      <c r="B57" t="s">
        <v>439</v>
      </c>
      <c r="C57" t="s">
        <v>440</v>
      </c>
      <c r="D57" s="11">
        <v>145.68</v>
      </c>
    </row>
    <row r="58" spans="1:4">
      <c r="A58">
        <v>172</v>
      </c>
      <c r="B58" t="s">
        <v>251</v>
      </c>
      <c r="C58" t="s">
        <v>252</v>
      </c>
      <c r="D58" s="11">
        <v>145.66999999999999</v>
      </c>
    </row>
    <row r="59" spans="1:4">
      <c r="A59">
        <v>436</v>
      </c>
      <c r="B59" t="s">
        <v>502</v>
      </c>
      <c r="C59" t="s">
        <v>503</v>
      </c>
      <c r="D59" s="11">
        <v>144.69999999999999</v>
      </c>
    </row>
    <row r="60" spans="1:4">
      <c r="A60">
        <v>277</v>
      </c>
      <c r="B60" t="s">
        <v>350</v>
      </c>
      <c r="C60" t="s">
        <v>351</v>
      </c>
      <c r="D60" s="11">
        <v>144.68</v>
      </c>
    </row>
    <row r="61" spans="1:4">
      <c r="A61">
        <v>237</v>
      </c>
      <c r="B61" t="s">
        <v>303</v>
      </c>
      <c r="C61" t="s">
        <v>304</v>
      </c>
      <c r="D61" s="11">
        <v>144.66999999999999</v>
      </c>
    </row>
    <row r="62" spans="1:4">
      <c r="A62">
        <v>66</v>
      </c>
      <c r="B62" t="s">
        <v>141</v>
      </c>
      <c r="C62" t="s">
        <v>142</v>
      </c>
      <c r="D62" s="11">
        <v>144.66</v>
      </c>
    </row>
    <row r="63" spans="1:4">
      <c r="A63">
        <v>5</v>
      </c>
      <c r="B63" t="s">
        <v>67</v>
      </c>
      <c r="C63" t="s">
        <v>68</v>
      </c>
      <c r="D63" s="11">
        <v>144.62</v>
      </c>
    </row>
    <row r="64" spans="1:4">
      <c r="A64">
        <v>337</v>
      </c>
      <c r="B64" t="s">
        <v>413</v>
      </c>
      <c r="C64" t="s">
        <v>414</v>
      </c>
      <c r="D64" s="11">
        <v>143.71</v>
      </c>
    </row>
    <row r="65" spans="1:4">
      <c r="A65">
        <v>363</v>
      </c>
      <c r="B65" t="s">
        <v>441</v>
      </c>
      <c r="C65" t="s">
        <v>442</v>
      </c>
      <c r="D65" s="11">
        <v>143.71</v>
      </c>
    </row>
    <row r="66" spans="1:4">
      <c r="A66">
        <v>120</v>
      </c>
      <c r="B66" t="s">
        <v>193</v>
      </c>
      <c r="C66" t="s">
        <v>194</v>
      </c>
      <c r="D66" s="11">
        <v>143.68</v>
      </c>
    </row>
    <row r="67" spans="1:4">
      <c r="A67">
        <v>289</v>
      </c>
      <c r="B67" t="s">
        <v>366</v>
      </c>
      <c r="C67" t="s">
        <v>367</v>
      </c>
      <c r="D67" s="11">
        <v>142.69999999999999</v>
      </c>
    </row>
    <row r="68" spans="1:4">
      <c r="A68">
        <v>347</v>
      </c>
      <c r="B68" t="s">
        <v>425</v>
      </c>
      <c r="C68" t="s">
        <v>426</v>
      </c>
      <c r="D68" s="11">
        <v>142.69999999999999</v>
      </c>
    </row>
    <row r="69" spans="1:4">
      <c r="A69">
        <v>46</v>
      </c>
      <c r="B69" t="s">
        <v>117</v>
      </c>
      <c r="C69" t="s">
        <v>118</v>
      </c>
      <c r="D69" s="11">
        <v>142.66</v>
      </c>
    </row>
    <row r="70" spans="1:4">
      <c r="A70">
        <v>239</v>
      </c>
      <c r="B70" t="s">
        <v>305</v>
      </c>
      <c r="C70" t="s">
        <v>306</v>
      </c>
      <c r="D70" s="11">
        <v>142.66</v>
      </c>
    </row>
    <row r="71" spans="1:4">
      <c r="A71">
        <v>39</v>
      </c>
      <c r="B71" t="s">
        <v>109</v>
      </c>
      <c r="C71" t="s">
        <v>110</v>
      </c>
      <c r="D71" s="11">
        <v>141.71</v>
      </c>
    </row>
    <row r="72" spans="1:4">
      <c r="A72">
        <v>472</v>
      </c>
      <c r="B72" t="s">
        <v>541</v>
      </c>
      <c r="C72" t="s">
        <v>542</v>
      </c>
      <c r="D72" s="11">
        <v>141.69999999999999</v>
      </c>
    </row>
    <row r="73" spans="1:4">
      <c r="A73">
        <v>78</v>
      </c>
      <c r="B73" t="s">
        <v>153</v>
      </c>
      <c r="C73" t="s">
        <v>154</v>
      </c>
      <c r="D73" s="11">
        <v>141.69</v>
      </c>
    </row>
    <row r="74" spans="1:4">
      <c r="A74">
        <v>84</v>
      </c>
      <c r="B74" t="s">
        <v>157</v>
      </c>
      <c r="C74" t="s">
        <v>158</v>
      </c>
      <c r="D74" s="11">
        <v>141.66999999999999</v>
      </c>
    </row>
    <row r="75" spans="1:4">
      <c r="A75">
        <v>533</v>
      </c>
      <c r="B75" t="s">
        <v>588</v>
      </c>
      <c r="C75" t="s">
        <v>589</v>
      </c>
      <c r="D75" s="11">
        <v>141.66999999999999</v>
      </c>
    </row>
    <row r="76" spans="1:4">
      <c r="A76">
        <v>566</v>
      </c>
      <c r="B76" t="s">
        <v>608</v>
      </c>
      <c r="C76" t="s">
        <v>609</v>
      </c>
      <c r="D76" s="11">
        <v>141.66</v>
      </c>
    </row>
    <row r="77" spans="1:4">
      <c r="A77">
        <v>198</v>
      </c>
      <c r="B77" t="s">
        <v>273</v>
      </c>
      <c r="C77" t="s">
        <v>274</v>
      </c>
      <c r="D77" s="11">
        <v>141.63</v>
      </c>
    </row>
    <row r="78" spans="1:4">
      <c r="A78">
        <v>494</v>
      </c>
      <c r="B78" t="s">
        <v>557</v>
      </c>
      <c r="C78" t="s">
        <v>558</v>
      </c>
      <c r="D78" s="11">
        <v>140.69</v>
      </c>
    </row>
    <row r="79" spans="1:4">
      <c r="A79">
        <v>242</v>
      </c>
      <c r="B79" t="s">
        <v>309</v>
      </c>
      <c r="C79" t="s">
        <v>310</v>
      </c>
      <c r="D79" s="11">
        <v>140.68</v>
      </c>
    </row>
    <row r="80" spans="1:4">
      <c r="A80">
        <v>29</v>
      </c>
      <c r="B80" t="s">
        <v>97</v>
      </c>
      <c r="C80" t="s">
        <v>98</v>
      </c>
      <c r="D80" s="11">
        <v>140.63999999999999</v>
      </c>
    </row>
    <row r="81" spans="1:4">
      <c r="A81">
        <v>146</v>
      </c>
      <c r="B81" t="s">
        <v>225</v>
      </c>
      <c r="C81" t="s">
        <v>226</v>
      </c>
      <c r="D81" s="11">
        <v>139.71</v>
      </c>
    </row>
    <row r="82" spans="1:4">
      <c r="A82">
        <v>467</v>
      </c>
      <c r="B82" t="s">
        <v>532</v>
      </c>
      <c r="C82" t="s">
        <v>533</v>
      </c>
      <c r="D82" s="11">
        <v>139.71</v>
      </c>
    </row>
    <row r="83" spans="1:4">
      <c r="A83">
        <v>404</v>
      </c>
      <c r="B83" t="s">
        <v>298</v>
      </c>
      <c r="C83" t="s">
        <v>480</v>
      </c>
      <c r="D83" s="11">
        <v>139.69999999999999</v>
      </c>
    </row>
    <row r="84" spans="1:4">
      <c r="A84">
        <v>484</v>
      </c>
      <c r="B84" t="s">
        <v>551</v>
      </c>
      <c r="C84" t="s">
        <v>552</v>
      </c>
      <c r="D84" s="11">
        <v>139.69999999999999</v>
      </c>
    </row>
    <row r="85" spans="1:4">
      <c r="A85">
        <v>114</v>
      </c>
      <c r="B85" t="s">
        <v>185</v>
      </c>
      <c r="C85" t="s">
        <v>186</v>
      </c>
      <c r="D85" s="11">
        <v>139.66999999999999</v>
      </c>
    </row>
    <row r="86" spans="1:4">
      <c r="A86">
        <v>576</v>
      </c>
      <c r="B86" t="s">
        <v>128</v>
      </c>
      <c r="C86" t="s">
        <v>618</v>
      </c>
      <c r="D86" s="11">
        <v>139.66</v>
      </c>
    </row>
    <row r="87" spans="1:4">
      <c r="A87">
        <v>349</v>
      </c>
      <c r="B87" t="s">
        <v>429</v>
      </c>
      <c r="C87" t="s">
        <v>430</v>
      </c>
      <c r="D87" s="11">
        <v>138.71</v>
      </c>
    </row>
    <row r="88" spans="1:4">
      <c r="A88">
        <v>482</v>
      </c>
      <c r="B88" t="s">
        <v>549</v>
      </c>
      <c r="C88" t="s">
        <v>550</v>
      </c>
      <c r="D88" s="11">
        <v>138.71</v>
      </c>
    </row>
    <row r="89" spans="1:4">
      <c r="A89">
        <v>306</v>
      </c>
      <c r="B89" t="s">
        <v>385</v>
      </c>
      <c r="C89" t="s">
        <v>386</v>
      </c>
      <c r="D89" s="11">
        <v>138.68</v>
      </c>
    </row>
    <row r="90" spans="1:4">
      <c r="A90">
        <v>51</v>
      </c>
      <c r="B90" t="s">
        <v>123</v>
      </c>
      <c r="C90" t="s">
        <v>124</v>
      </c>
      <c r="D90" s="11">
        <v>138.66999999999999</v>
      </c>
    </row>
    <row r="91" spans="1:4">
      <c r="A91">
        <v>502</v>
      </c>
      <c r="B91" t="s">
        <v>566</v>
      </c>
      <c r="C91" t="s">
        <v>567</v>
      </c>
      <c r="D91" s="11">
        <v>138.66</v>
      </c>
    </row>
    <row r="92" spans="1:4">
      <c r="A92">
        <v>80</v>
      </c>
      <c r="B92" t="s">
        <v>155</v>
      </c>
      <c r="C92" t="s">
        <v>156</v>
      </c>
      <c r="D92" s="11">
        <v>137.69999999999999</v>
      </c>
    </row>
    <row r="93" spans="1:4">
      <c r="A93">
        <v>210</v>
      </c>
      <c r="B93" t="s">
        <v>285</v>
      </c>
      <c r="C93" t="s">
        <v>286</v>
      </c>
      <c r="D93" s="11">
        <v>137.69</v>
      </c>
    </row>
    <row r="94" spans="1:4">
      <c r="A94">
        <v>300</v>
      </c>
      <c r="B94" t="s">
        <v>381</v>
      </c>
      <c r="C94" t="s">
        <v>382</v>
      </c>
      <c r="D94" s="11">
        <v>137.69</v>
      </c>
    </row>
    <row r="95" spans="1:4">
      <c r="A95">
        <v>102</v>
      </c>
      <c r="B95" t="s">
        <v>173</v>
      </c>
      <c r="C95" t="s">
        <v>174</v>
      </c>
      <c r="D95" s="11">
        <v>137.66999999999999</v>
      </c>
    </row>
    <row r="96" spans="1:4">
      <c r="A96">
        <v>207</v>
      </c>
      <c r="B96" t="s">
        <v>281</v>
      </c>
      <c r="C96" t="s">
        <v>282</v>
      </c>
      <c r="D96" s="11">
        <v>137.66</v>
      </c>
    </row>
    <row r="97" spans="1:4">
      <c r="A97">
        <v>200</v>
      </c>
      <c r="B97" t="s">
        <v>275</v>
      </c>
      <c r="C97" t="s">
        <v>276</v>
      </c>
      <c r="D97" s="11">
        <v>136.72999999999999</v>
      </c>
    </row>
    <row r="98" spans="1:4">
      <c r="A98">
        <v>380</v>
      </c>
      <c r="B98" t="s">
        <v>457</v>
      </c>
      <c r="C98" t="s">
        <v>458</v>
      </c>
      <c r="D98" s="11">
        <v>136.63999999999999</v>
      </c>
    </row>
    <row r="99" spans="1:4">
      <c r="A99">
        <v>3</v>
      </c>
      <c r="B99" t="s">
        <v>665</v>
      </c>
      <c r="C99" t="s">
        <v>666</v>
      </c>
      <c r="D99" s="11">
        <v>135.74</v>
      </c>
    </row>
    <row r="100" spans="1:4">
      <c r="A100">
        <v>285</v>
      </c>
      <c r="B100" t="s">
        <v>667</v>
      </c>
      <c r="C100" t="s">
        <v>668</v>
      </c>
      <c r="D100" s="11">
        <v>135.74</v>
      </c>
    </row>
    <row r="101" spans="1:4">
      <c r="A101">
        <v>558</v>
      </c>
      <c r="B101" t="s">
        <v>596</v>
      </c>
      <c r="C101" t="s">
        <v>597</v>
      </c>
      <c r="D101" s="11">
        <v>135.72</v>
      </c>
    </row>
    <row r="102" spans="1:4">
      <c r="A102">
        <v>448</v>
      </c>
      <c r="B102" t="s">
        <v>517</v>
      </c>
      <c r="C102" t="s">
        <v>518</v>
      </c>
      <c r="D102" s="11">
        <v>135.71</v>
      </c>
    </row>
    <row r="103" spans="1:4">
      <c r="A103">
        <v>56</v>
      </c>
      <c r="B103" t="s">
        <v>131</v>
      </c>
      <c r="C103" t="s">
        <v>132</v>
      </c>
      <c r="D103" s="11">
        <v>135.69999999999999</v>
      </c>
    </row>
    <row r="104" spans="1:4">
      <c r="A104">
        <v>334</v>
      </c>
      <c r="B104" t="s">
        <v>409</v>
      </c>
      <c r="C104" t="s">
        <v>410</v>
      </c>
      <c r="D104" s="11">
        <v>135.69999999999999</v>
      </c>
    </row>
    <row r="105" spans="1:4">
      <c r="A105">
        <v>279</v>
      </c>
      <c r="B105" t="s">
        <v>352</v>
      </c>
      <c r="C105" t="s">
        <v>353</v>
      </c>
      <c r="D105" s="11">
        <v>135.69</v>
      </c>
    </row>
    <row r="106" spans="1:4">
      <c r="A106">
        <v>125</v>
      </c>
      <c r="B106" t="s">
        <v>197</v>
      </c>
      <c r="C106" t="s">
        <v>198</v>
      </c>
      <c r="D106" s="11">
        <v>135.68</v>
      </c>
    </row>
    <row r="107" spans="1:4">
      <c r="A107">
        <v>535</v>
      </c>
      <c r="B107" t="s">
        <v>590</v>
      </c>
      <c r="C107" t="s">
        <v>591</v>
      </c>
      <c r="D107" s="11">
        <v>135.68</v>
      </c>
    </row>
    <row r="108" spans="1:4">
      <c r="A108">
        <v>168</v>
      </c>
      <c r="B108" t="s">
        <v>249</v>
      </c>
      <c r="C108" t="s">
        <v>250</v>
      </c>
      <c r="D108" s="11">
        <v>135.66</v>
      </c>
    </row>
    <row r="109" spans="1:4">
      <c r="A109">
        <v>591</v>
      </c>
      <c r="B109" t="s">
        <v>630</v>
      </c>
      <c r="C109" t="s">
        <v>631</v>
      </c>
      <c r="D109" s="11">
        <v>134.72999999999999</v>
      </c>
    </row>
    <row r="110" spans="1:4">
      <c r="A110">
        <v>307</v>
      </c>
      <c r="B110" t="s">
        <v>387</v>
      </c>
      <c r="C110" t="s">
        <v>299</v>
      </c>
      <c r="D110" s="11">
        <v>134.69999999999999</v>
      </c>
    </row>
    <row r="111" spans="1:4">
      <c r="A111">
        <v>15</v>
      </c>
      <c r="B111" t="s">
        <v>79</v>
      </c>
      <c r="C111" t="s">
        <v>80</v>
      </c>
      <c r="D111" s="11">
        <v>134.68</v>
      </c>
    </row>
    <row r="112" spans="1:4">
      <c r="A112">
        <v>89</v>
      </c>
      <c r="B112" t="s">
        <v>163</v>
      </c>
      <c r="C112" t="s">
        <v>164</v>
      </c>
      <c r="D112" s="11">
        <v>134.68</v>
      </c>
    </row>
    <row r="113" spans="1:4">
      <c r="A113">
        <v>520</v>
      </c>
      <c r="B113" t="s">
        <v>578</v>
      </c>
      <c r="C113" t="s">
        <v>579</v>
      </c>
      <c r="D113" s="11">
        <v>134.68</v>
      </c>
    </row>
    <row r="114" spans="1:4">
      <c r="A114">
        <v>569</v>
      </c>
      <c r="B114" t="s">
        <v>610</v>
      </c>
      <c r="C114" t="s">
        <v>611</v>
      </c>
      <c r="D114" s="11">
        <v>134.68</v>
      </c>
    </row>
    <row r="115" spans="1:4">
      <c r="A115">
        <v>438</v>
      </c>
      <c r="B115" t="s">
        <v>504</v>
      </c>
      <c r="C115" t="s">
        <v>505</v>
      </c>
      <c r="D115" s="11">
        <v>134.66999999999999</v>
      </c>
    </row>
    <row r="116" spans="1:4">
      <c r="A116">
        <v>473</v>
      </c>
      <c r="B116" t="s">
        <v>543</v>
      </c>
      <c r="C116" t="s">
        <v>544</v>
      </c>
      <c r="D116" s="11">
        <v>134.66</v>
      </c>
    </row>
    <row r="117" spans="1:4">
      <c r="A117">
        <v>433</v>
      </c>
      <c r="B117" t="s">
        <v>669</v>
      </c>
      <c r="C117" t="s">
        <v>670</v>
      </c>
      <c r="D117" s="11">
        <v>133.75</v>
      </c>
    </row>
    <row r="118" spans="1:4">
      <c r="A118">
        <v>59</v>
      </c>
      <c r="B118" t="s">
        <v>137</v>
      </c>
      <c r="C118" t="s">
        <v>138</v>
      </c>
      <c r="D118" s="11">
        <v>133.72999999999999</v>
      </c>
    </row>
    <row r="119" spans="1:4">
      <c r="A119">
        <v>92</v>
      </c>
      <c r="B119" t="s">
        <v>169</v>
      </c>
      <c r="C119" t="s">
        <v>170</v>
      </c>
      <c r="D119" s="11">
        <v>133.72</v>
      </c>
    </row>
    <row r="120" spans="1:4">
      <c r="A120">
        <v>504</v>
      </c>
      <c r="B120" t="s">
        <v>570</v>
      </c>
      <c r="C120" t="s">
        <v>571</v>
      </c>
      <c r="D120" s="11">
        <v>133.72</v>
      </c>
    </row>
    <row r="121" spans="1:4">
      <c r="A121">
        <v>179</v>
      </c>
      <c r="B121" t="s">
        <v>259</v>
      </c>
      <c r="C121" t="s">
        <v>260</v>
      </c>
      <c r="D121" s="11">
        <v>133.71</v>
      </c>
    </row>
    <row r="122" spans="1:4">
      <c r="A122">
        <v>265</v>
      </c>
      <c r="B122" t="s">
        <v>333</v>
      </c>
      <c r="C122" t="s">
        <v>317</v>
      </c>
      <c r="D122" s="11">
        <v>133.71</v>
      </c>
    </row>
    <row r="123" spans="1:4">
      <c r="A123">
        <v>112</v>
      </c>
      <c r="B123" t="s">
        <v>181</v>
      </c>
      <c r="C123" t="s">
        <v>182</v>
      </c>
      <c r="D123" s="11">
        <v>133.69999999999999</v>
      </c>
    </row>
    <row r="124" spans="1:4">
      <c r="A124">
        <v>221</v>
      </c>
      <c r="B124" t="s">
        <v>295</v>
      </c>
      <c r="C124" t="s">
        <v>296</v>
      </c>
      <c r="D124" s="11">
        <v>132.72</v>
      </c>
    </row>
    <row r="125" spans="1:4">
      <c r="A125">
        <v>316</v>
      </c>
      <c r="B125" t="s">
        <v>391</v>
      </c>
      <c r="C125" t="s">
        <v>392</v>
      </c>
      <c r="D125" s="11">
        <v>132.71</v>
      </c>
    </row>
    <row r="126" spans="1:4">
      <c r="A126">
        <v>108</v>
      </c>
      <c r="B126" t="s">
        <v>179</v>
      </c>
      <c r="C126" t="s">
        <v>180</v>
      </c>
      <c r="D126" s="11">
        <v>132.69999999999999</v>
      </c>
    </row>
    <row r="127" spans="1:4">
      <c r="A127">
        <v>319</v>
      </c>
      <c r="B127" t="s">
        <v>395</v>
      </c>
      <c r="C127" t="s">
        <v>396</v>
      </c>
      <c r="D127" s="11">
        <v>132.69999999999999</v>
      </c>
    </row>
    <row r="128" spans="1:4">
      <c r="A128">
        <v>560</v>
      </c>
      <c r="B128" t="s">
        <v>600</v>
      </c>
      <c r="C128" t="s">
        <v>601</v>
      </c>
      <c r="D128" s="11">
        <v>132.69999999999999</v>
      </c>
    </row>
    <row r="129" spans="1:4">
      <c r="A129">
        <v>245</v>
      </c>
      <c r="B129" t="s">
        <v>313</v>
      </c>
      <c r="C129" t="s">
        <v>314</v>
      </c>
      <c r="D129" s="11">
        <v>132.68</v>
      </c>
    </row>
    <row r="130" spans="1:4">
      <c r="A130">
        <v>13</v>
      </c>
      <c r="B130" t="s">
        <v>75</v>
      </c>
      <c r="C130" t="s">
        <v>76</v>
      </c>
      <c r="D130" s="11">
        <v>131.72999999999999</v>
      </c>
    </row>
    <row r="131" spans="1:4">
      <c r="A131">
        <v>299</v>
      </c>
      <c r="B131" t="s">
        <v>144</v>
      </c>
      <c r="C131" t="s">
        <v>380</v>
      </c>
      <c r="D131" s="11">
        <v>131.69999999999999</v>
      </c>
    </row>
    <row r="132" spans="1:4">
      <c r="A132">
        <v>314</v>
      </c>
      <c r="B132" t="s">
        <v>300</v>
      </c>
      <c r="C132" t="s">
        <v>390</v>
      </c>
      <c r="D132" s="11">
        <v>131.66999999999999</v>
      </c>
    </row>
    <row r="133" spans="1:4">
      <c r="A133">
        <v>82</v>
      </c>
      <c r="B133" t="s">
        <v>671</v>
      </c>
      <c r="C133" t="s">
        <v>672</v>
      </c>
      <c r="D133" s="11">
        <v>130.74</v>
      </c>
    </row>
    <row r="134" spans="1:4">
      <c r="A134">
        <v>594</v>
      </c>
      <c r="B134" t="s">
        <v>634</v>
      </c>
      <c r="C134" t="s">
        <v>635</v>
      </c>
      <c r="D134" s="11">
        <v>130.72999999999999</v>
      </c>
    </row>
    <row r="135" spans="1:4">
      <c r="A135">
        <v>49</v>
      </c>
      <c r="B135" t="s">
        <v>119</v>
      </c>
      <c r="C135" t="s">
        <v>120</v>
      </c>
      <c r="D135" s="11">
        <v>130.72</v>
      </c>
    </row>
    <row r="136" spans="1:4">
      <c r="A136">
        <v>154</v>
      </c>
      <c r="B136" t="s">
        <v>233</v>
      </c>
      <c r="C136" t="s">
        <v>234</v>
      </c>
      <c r="D136" s="11">
        <v>130.69999999999999</v>
      </c>
    </row>
    <row r="137" spans="1:4">
      <c r="A137">
        <v>141</v>
      </c>
      <c r="B137" t="s">
        <v>219</v>
      </c>
      <c r="C137" t="s">
        <v>220</v>
      </c>
      <c r="D137" s="11">
        <v>130.68</v>
      </c>
    </row>
    <row r="138" spans="1:4">
      <c r="A138">
        <v>342</v>
      </c>
      <c r="B138" t="s">
        <v>421</v>
      </c>
      <c r="C138" t="s">
        <v>422</v>
      </c>
      <c r="D138" s="11">
        <v>130.68</v>
      </c>
    </row>
    <row r="139" spans="1:4">
      <c r="A139">
        <v>497</v>
      </c>
      <c r="B139" t="s">
        <v>304</v>
      </c>
      <c r="C139" t="s">
        <v>559</v>
      </c>
      <c r="D139" s="11">
        <v>129.72</v>
      </c>
    </row>
    <row r="140" spans="1:4">
      <c r="A140">
        <v>589</v>
      </c>
      <c r="B140" t="s">
        <v>179</v>
      </c>
      <c r="C140" t="s">
        <v>629</v>
      </c>
      <c r="D140" s="11">
        <v>129.72</v>
      </c>
    </row>
    <row r="141" spans="1:4">
      <c r="A141">
        <v>71</v>
      </c>
      <c r="B141" t="s">
        <v>143</v>
      </c>
      <c r="C141" t="s">
        <v>144</v>
      </c>
      <c r="D141" s="11">
        <v>129.69999999999999</v>
      </c>
    </row>
    <row r="142" spans="1:4">
      <c r="A142">
        <v>269</v>
      </c>
      <c r="B142" t="s">
        <v>340</v>
      </c>
      <c r="C142" t="s">
        <v>341</v>
      </c>
      <c r="D142" s="11">
        <v>129.69999999999999</v>
      </c>
    </row>
    <row r="143" spans="1:4">
      <c r="A143">
        <v>296</v>
      </c>
      <c r="B143" t="s">
        <v>376</v>
      </c>
      <c r="C143" t="s">
        <v>377</v>
      </c>
      <c r="D143" s="11">
        <v>129.69999999999999</v>
      </c>
    </row>
    <row r="144" spans="1:4">
      <c r="A144">
        <v>584</v>
      </c>
      <c r="B144" t="s">
        <v>626</v>
      </c>
      <c r="C144" t="s">
        <v>627</v>
      </c>
      <c r="D144" s="11">
        <v>129.69999999999999</v>
      </c>
    </row>
    <row r="145" spans="1:4">
      <c r="A145">
        <v>35</v>
      </c>
      <c r="B145" t="s">
        <v>103</v>
      </c>
      <c r="C145" t="s">
        <v>104</v>
      </c>
      <c r="D145" s="11">
        <v>129.68</v>
      </c>
    </row>
    <row r="146" spans="1:4">
      <c r="A146">
        <v>244</v>
      </c>
      <c r="B146" t="s">
        <v>311</v>
      </c>
      <c r="C146" t="s">
        <v>312</v>
      </c>
      <c r="D146" s="11">
        <v>129.68</v>
      </c>
    </row>
    <row r="147" spans="1:4">
      <c r="A147">
        <v>354</v>
      </c>
      <c r="B147" t="s">
        <v>431</v>
      </c>
      <c r="C147" t="s">
        <v>432</v>
      </c>
      <c r="D147" s="11">
        <v>129.63999999999999</v>
      </c>
    </row>
    <row r="148" spans="1:4">
      <c r="A148">
        <v>2</v>
      </c>
      <c r="B148" t="s">
        <v>65</v>
      </c>
      <c r="C148" t="s">
        <v>66</v>
      </c>
      <c r="D148" s="11">
        <v>128.72999999999999</v>
      </c>
    </row>
    <row r="149" spans="1:4">
      <c r="A149">
        <v>434</v>
      </c>
      <c r="B149" t="s">
        <v>500</v>
      </c>
      <c r="C149" t="s">
        <v>501</v>
      </c>
      <c r="D149" s="11">
        <v>128.72999999999999</v>
      </c>
    </row>
    <row r="150" spans="1:4">
      <c r="A150">
        <v>322</v>
      </c>
      <c r="B150" t="s">
        <v>397</v>
      </c>
      <c r="C150" t="s">
        <v>398</v>
      </c>
      <c r="D150" s="11">
        <v>128.72</v>
      </c>
    </row>
    <row r="151" spans="1:4">
      <c r="A151">
        <v>54</v>
      </c>
      <c r="B151" t="s">
        <v>129</v>
      </c>
      <c r="C151" t="s">
        <v>130</v>
      </c>
      <c r="D151" s="11">
        <v>128.71</v>
      </c>
    </row>
    <row r="152" spans="1:4">
      <c r="A152">
        <v>131</v>
      </c>
      <c r="B152" t="s">
        <v>205</v>
      </c>
      <c r="C152" t="s">
        <v>206</v>
      </c>
      <c r="D152" s="11">
        <v>128.69999999999999</v>
      </c>
    </row>
    <row r="153" spans="1:4">
      <c r="A153">
        <v>297</v>
      </c>
      <c r="B153" t="s">
        <v>378</v>
      </c>
      <c r="C153" t="s">
        <v>379</v>
      </c>
      <c r="D153" s="11">
        <v>128.66999999999999</v>
      </c>
    </row>
    <row r="154" spans="1:4">
      <c r="A154">
        <v>451</v>
      </c>
      <c r="B154" t="s">
        <v>519</v>
      </c>
      <c r="C154" t="s">
        <v>520</v>
      </c>
      <c r="D154" s="11">
        <v>128.66999999999999</v>
      </c>
    </row>
    <row r="155" spans="1:4">
      <c r="A155">
        <v>508</v>
      </c>
      <c r="B155" t="s">
        <v>673</v>
      </c>
      <c r="C155" t="s">
        <v>674</v>
      </c>
      <c r="D155" s="11">
        <v>127.75</v>
      </c>
    </row>
    <row r="156" spans="1:4">
      <c r="A156">
        <v>45</v>
      </c>
      <c r="B156" t="s">
        <v>115</v>
      </c>
      <c r="C156" t="s">
        <v>116</v>
      </c>
      <c r="D156" s="11">
        <v>127.73</v>
      </c>
    </row>
    <row r="157" spans="1:4">
      <c r="A157">
        <v>32</v>
      </c>
      <c r="B157" t="s">
        <v>101</v>
      </c>
      <c r="C157" t="s">
        <v>102</v>
      </c>
      <c r="D157" s="11">
        <v>127.71</v>
      </c>
    </row>
    <row r="158" spans="1:4">
      <c r="A158">
        <v>253</v>
      </c>
      <c r="B158" t="s">
        <v>317</v>
      </c>
      <c r="C158" t="s">
        <v>318</v>
      </c>
      <c r="D158" s="11">
        <v>127.71</v>
      </c>
    </row>
    <row r="159" spans="1:4">
      <c r="A159">
        <v>302</v>
      </c>
      <c r="B159" t="s">
        <v>383</v>
      </c>
      <c r="C159" t="s">
        <v>384</v>
      </c>
      <c r="D159" s="11">
        <v>127.71</v>
      </c>
    </row>
    <row r="160" spans="1:4">
      <c r="A160">
        <v>339</v>
      </c>
      <c r="B160" t="s">
        <v>417</v>
      </c>
      <c r="C160" t="s">
        <v>418</v>
      </c>
      <c r="D160" s="11">
        <v>127.7</v>
      </c>
    </row>
    <row r="161" spans="1:4">
      <c r="A161">
        <v>128</v>
      </c>
      <c r="B161" t="s">
        <v>201</v>
      </c>
      <c r="C161" t="s">
        <v>202</v>
      </c>
      <c r="D161" s="11">
        <v>127.68</v>
      </c>
    </row>
    <row r="162" spans="1:4">
      <c r="A162">
        <v>329</v>
      </c>
      <c r="B162" t="s">
        <v>401</v>
      </c>
      <c r="C162" t="s">
        <v>402</v>
      </c>
      <c r="D162" s="11">
        <v>127.68</v>
      </c>
    </row>
    <row r="163" spans="1:4">
      <c r="A163">
        <v>38</v>
      </c>
      <c r="B163" t="s">
        <v>107</v>
      </c>
      <c r="C163" t="s">
        <v>108</v>
      </c>
      <c r="D163" s="11">
        <v>127.66</v>
      </c>
    </row>
    <row r="164" spans="1:4">
      <c r="A164">
        <v>147</v>
      </c>
      <c r="B164" t="s">
        <v>227</v>
      </c>
      <c r="C164" t="s">
        <v>228</v>
      </c>
      <c r="D164" s="11">
        <v>127.66</v>
      </c>
    </row>
    <row r="165" spans="1:4">
      <c r="A165">
        <v>206</v>
      </c>
      <c r="B165" t="s">
        <v>279</v>
      </c>
      <c r="C165" t="s">
        <v>280</v>
      </c>
      <c r="D165" s="11">
        <v>126.73</v>
      </c>
    </row>
    <row r="166" spans="1:4">
      <c r="A166">
        <v>426</v>
      </c>
      <c r="B166" t="s">
        <v>262</v>
      </c>
      <c r="C166" t="s">
        <v>499</v>
      </c>
      <c r="D166" s="11">
        <v>126.73</v>
      </c>
    </row>
    <row r="167" spans="1:4">
      <c r="A167">
        <v>284</v>
      </c>
      <c r="B167" t="s">
        <v>360</v>
      </c>
      <c r="C167" t="s">
        <v>361</v>
      </c>
      <c r="D167" s="11">
        <v>126.72</v>
      </c>
    </row>
    <row r="168" spans="1:4">
      <c r="A168">
        <v>515</v>
      </c>
      <c r="B168" t="s">
        <v>576</v>
      </c>
      <c r="C168" t="s">
        <v>577</v>
      </c>
      <c r="D168" s="11">
        <v>126.72</v>
      </c>
    </row>
    <row r="169" spans="1:4">
      <c r="A169">
        <v>565</v>
      </c>
      <c r="B169" t="s">
        <v>606</v>
      </c>
      <c r="C169" t="s">
        <v>607</v>
      </c>
      <c r="D169" s="11">
        <v>126.71</v>
      </c>
    </row>
    <row r="170" spans="1:4">
      <c r="A170">
        <v>575</v>
      </c>
      <c r="B170" t="s">
        <v>616</v>
      </c>
      <c r="C170" t="s">
        <v>617</v>
      </c>
      <c r="D170" s="11">
        <v>126.71</v>
      </c>
    </row>
    <row r="171" spans="1:4">
      <c r="A171">
        <v>107</v>
      </c>
      <c r="B171" t="s">
        <v>177</v>
      </c>
      <c r="C171" t="s">
        <v>178</v>
      </c>
      <c r="D171" s="11">
        <v>126.7</v>
      </c>
    </row>
    <row r="172" spans="1:4">
      <c r="A172">
        <v>27</v>
      </c>
      <c r="B172" t="s">
        <v>93</v>
      </c>
      <c r="C172" t="s">
        <v>94</v>
      </c>
      <c r="D172" s="11">
        <v>126.69</v>
      </c>
    </row>
    <row r="173" spans="1:4">
      <c r="A173">
        <v>122</v>
      </c>
      <c r="B173" t="s">
        <v>195</v>
      </c>
      <c r="C173" t="s">
        <v>196</v>
      </c>
      <c r="D173" s="11">
        <v>126.68</v>
      </c>
    </row>
    <row r="174" spans="1:4">
      <c r="A174">
        <v>158</v>
      </c>
      <c r="B174" t="s">
        <v>237</v>
      </c>
      <c r="C174" t="s">
        <v>238</v>
      </c>
      <c r="D174" s="11">
        <v>126.68</v>
      </c>
    </row>
    <row r="175" spans="1:4">
      <c r="A175">
        <v>19</v>
      </c>
      <c r="B175" t="s">
        <v>675</v>
      </c>
      <c r="C175" t="s">
        <v>676</v>
      </c>
      <c r="D175" s="11">
        <v>125.76</v>
      </c>
    </row>
    <row r="176" spans="1:4">
      <c r="A176">
        <v>389</v>
      </c>
      <c r="B176" t="s">
        <v>677</v>
      </c>
      <c r="C176" t="s">
        <v>678</v>
      </c>
      <c r="D176" s="11">
        <v>124.74</v>
      </c>
    </row>
    <row r="177" spans="1:4">
      <c r="A177">
        <v>491</v>
      </c>
      <c r="B177" t="s">
        <v>555</v>
      </c>
      <c r="C177" t="s">
        <v>556</v>
      </c>
      <c r="D177" s="11">
        <v>124.73</v>
      </c>
    </row>
    <row r="178" spans="1:4">
      <c r="A178">
        <v>400</v>
      </c>
      <c r="B178" t="s">
        <v>476</v>
      </c>
      <c r="C178" t="s">
        <v>477</v>
      </c>
      <c r="D178" s="11">
        <v>124.72</v>
      </c>
    </row>
    <row r="179" spans="1:4">
      <c r="A179">
        <v>388</v>
      </c>
      <c r="B179" t="s">
        <v>464</v>
      </c>
      <c r="C179" t="s">
        <v>465</v>
      </c>
      <c r="D179" s="11">
        <v>124.7</v>
      </c>
    </row>
    <row r="180" spans="1:4">
      <c r="A180">
        <v>230</v>
      </c>
      <c r="B180" t="s">
        <v>299</v>
      </c>
      <c r="C180" t="s">
        <v>300</v>
      </c>
      <c r="D180" s="11">
        <v>124.67</v>
      </c>
    </row>
    <row r="181" spans="1:4">
      <c r="A181">
        <v>129</v>
      </c>
      <c r="B181" t="s">
        <v>203</v>
      </c>
      <c r="C181" t="s">
        <v>204</v>
      </c>
      <c r="D181" s="11">
        <v>124.66</v>
      </c>
    </row>
    <row r="182" spans="1:4">
      <c r="A182">
        <v>166</v>
      </c>
      <c r="B182" t="s">
        <v>245</v>
      </c>
      <c r="C182" t="s">
        <v>246</v>
      </c>
      <c r="D182" s="11">
        <v>123.72</v>
      </c>
    </row>
    <row r="183" spans="1:4">
      <c r="A183">
        <v>268</v>
      </c>
      <c r="B183" t="s">
        <v>338</v>
      </c>
      <c r="C183" t="s">
        <v>339</v>
      </c>
      <c r="D183" s="11">
        <v>123.71</v>
      </c>
    </row>
    <row r="184" spans="1:4">
      <c r="A184">
        <v>499</v>
      </c>
      <c r="B184" t="s">
        <v>562</v>
      </c>
      <c r="C184" t="s">
        <v>563</v>
      </c>
      <c r="D184" s="11">
        <v>123.7</v>
      </c>
    </row>
    <row r="185" spans="1:4">
      <c r="A185">
        <v>30</v>
      </c>
      <c r="B185" t="s">
        <v>99</v>
      </c>
      <c r="C185" t="s">
        <v>100</v>
      </c>
      <c r="D185" s="11">
        <v>123.66</v>
      </c>
    </row>
    <row r="186" spans="1:4">
      <c r="A186">
        <v>510</v>
      </c>
      <c r="B186" t="s">
        <v>679</v>
      </c>
      <c r="C186" t="s">
        <v>680</v>
      </c>
      <c r="D186" s="11">
        <v>122.74</v>
      </c>
    </row>
    <row r="187" spans="1:4">
      <c r="A187">
        <v>331</v>
      </c>
      <c r="B187" t="s">
        <v>403</v>
      </c>
      <c r="C187" t="s">
        <v>404</v>
      </c>
      <c r="D187" s="11">
        <v>122.73</v>
      </c>
    </row>
    <row r="188" spans="1:4">
      <c r="A188">
        <v>276</v>
      </c>
      <c r="B188" t="s">
        <v>348</v>
      </c>
      <c r="C188" t="s">
        <v>349</v>
      </c>
      <c r="D188" s="11">
        <v>122.72</v>
      </c>
    </row>
    <row r="189" spans="1:4">
      <c r="A189">
        <v>163</v>
      </c>
      <c r="B189" t="s">
        <v>243</v>
      </c>
      <c r="C189" t="s">
        <v>244</v>
      </c>
      <c r="D189" s="11">
        <v>122.71</v>
      </c>
    </row>
    <row r="190" spans="1:4">
      <c r="A190">
        <v>263</v>
      </c>
      <c r="B190" t="s">
        <v>331</v>
      </c>
      <c r="C190" t="s">
        <v>332</v>
      </c>
      <c r="D190" s="11">
        <v>122.71</v>
      </c>
    </row>
    <row r="191" spans="1:4">
      <c r="A191">
        <v>260</v>
      </c>
      <c r="B191" t="s">
        <v>327</v>
      </c>
      <c r="C191" t="s">
        <v>328</v>
      </c>
      <c r="D191" s="11">
        <v>122.69</v>
      </c>
    </row>
    <row r="192" spans="1:4">
      <c r="A192">
        <v>406</v>
      </c>
      <c r="B192" t="s">
        <v>483</v>
      </c>
      <c r="C192" t="s">
        <v>484</v>
      </c>
      <c r="D192" s="11">
        <v>122.68</v>
      </c>
    </row>
    <row r="193" spans="1:4">
      <c r="A193">
        <v>241</v>
      </c>
      <c r="B193" t="s">
        <v>307</v>
      </c>
      <c r="C193" t="s">
        <v>308</v>
      </c>
      <c r="D193" s="11">
        <v>122.66</v>
      </c>
    </row>
    <row r="194" spans="1:4">
      <c r="A194">
        <v>571</v>
      </c>
      <c r="B194" t="s">
        <v>681</v>
      </c>
      <c r="C194" t="s">
        <v>682</v>
      </c>
      <c r="D194" s="11">
        <v>121.76</v>
      </c>
    </row>
    <row r="195" spans="1:4">
      <c r="A195">
        <v>149</v>
      </c>
      <c r="B195" t="s">
        <v>683</v>
      </c>
      <c r="C195" t="s">
        <v>684</v>
      </c>
      <c r="D195" s="11">
        <v>121.74</v>
      </c>
    </row>
    <row r="196" spans="1:4">
      <c r="A196">
        <v>356</v>
      </c>
      <c r="B196" t="s">
        <v>433</v>
      </c>
      <c r="C196" t="s">
        <v>434</v>
      </c>
      <c r="D196" s="11">
        <v>121.7</v>
      </c>
    </row>
    <row r="197" spans="1:4">
      <c r="A197">
        <v>393</v>
      </c>
      <c r="B197" t="s">
        <v>470</v>
      </c>
      <c r="C197" t="s">
        <v>471</v>
      </c>
      <c r="D197" s="11">
        <v>121.69</v>
      </c>
    </row>
    <row r="198" spans="1:4">
      <c r="A198">
        <v>416</v>
      </c>
      <c r="B198" t="s">
        <v>491</v>
      </c>
      <c r="C198" t="s">
        <v>492</v>
      </c>
      <c r="D198" s="11">
        <v>121.69</v>
      </c>
    </row>
    <row r="199" spans="1:4">
      <c r="A199">
        <v>311</v>
      </c>
      <c r="B199" t="s">
        <v>685</v>
      </c>
      <c r="C199" t="s">
        <v>686</v>
      </c>
      <c r="D199" s="11">
        <v>120.77</v>
      </c>
    </row>
    <row r="200" spans="1:4">
      <c r="A200">
        <v>105</v>
      </c>
      <c r="B200" t="s">
        <v>687</v>
      </c>
      <c r="C200" t="s">
        <v>688</v>
      </c>
      <c r="D200" s="11">
        <v>120.74</v>
      </c>
    </row>
    <row r="201" spans="1:4">
      <c r="A201">
        <v>225</v>
      </c>
      <c r="B201" t="s">
        <v>689</v>
      </c>
      <c r="C201" t="s">
        <v>690</v>
      </c>
      <c r="D201" s="11">
        <v>120.74</v>
      </c>
    </row>
    <row r="202" spans="1:4">
      <c r="A202">
        <v>423</v>
      </c>
      <c r="B202" t="s">
        <v>691</v>
      </c>
      <c r="C202" t="s">
        <v>692</v>
      </c>
      <c r="D202" s="11">
        <v>120.74</v>
      </c>
    </row>
    <row r="203" spans="1:4">
      <c r="A203">
        <v>495</v>
      </c>
      <c r="B203" t="s">
        <v>693</v>
      </c>
      <c r="C203" t="s">
        <v>694</v>
      </c>
      <c r="D203" s="11">
        <v>120.74</v>
      </c>
    </row>
    <row r="204" spans="1:4">
      <c r="A204">
        <v>573</v>
      </c>
      <c r="B204" t="s">
        <v>612</v>
      </c>
      <c r="C204" t="s">
        <v>613</v>
      </c>
      <c r="D204" s="11">
        <v>120.71</v>
      </c>
    </row>
    <row r="205" spans="1:4">
      <c r="A205">
        <v>251</v>
      </c>
      <c r="B205" t="s">
        <v>315</v>
      </c>
      <c r="C205" t="s">
        <v>316</v>
      </c>
      <c r="D205" s="11">
        <v>120.69</v>
      </c>
    </row>
    <row r="206" spans="1:4">
      <c r="A206">
        <v>170</v>
      </c>
      <c r="B206" t="s">
        <v>695</v>
      </c>
      <c r="C206" t="s">
        <v>580</v>
      </c>
      <c r="D206" s="11">
        <v>119.74</v>
      </c>
    </row>
    <row r="207" spans="1:4">
      <c r="A207">
        <v>487</v>
      </c>
      <c r="B207" t="s">
        <v>696</v>
      </c>
      <c r="C207" t="s">
        <v>697</v>
      </c>
      <c r="D207" s="11">
        <v>119.74</v>
      </c>
    </row>
    <row r="208" spans="1:4">
      <c r="A208">
        <v>421</v>
      </c>
      <c r="B208" t="s">
        <v>495</v>
      </c>
      <c r="C208" t="s">
        <v>496</v>
      </c>
      <c r="D208" s="11">
        <v>119.73</v>
      </c>
    </row>
    <row r="209" spans="1:4">
      <c r="A209">
        <v>262</v>
      </c>
      <c r="B209" t="s">
        <v>329</v>
      </c>
      <c r="C209" t="s">
        <v>330</v>
      </c>
      <c r="D209" s="11">
        <v>119.72</v>
      </c>
    </row>
    <row r="210" spans="1:4">
      <c r="A210">
        <v>173</v>
      </c>
      <c r="B210" t="s">
        <v>253</v>
      </c>
      <c r="C210" t="s">
        <v>254</v>
      </c>
      <c r="D210" s="11">
        <v>119.71</v>
      </c>
    </row>
    <row r="211" spans="1:4">
      <c r="A211">
        <v>23</v>
      </c>
      <c r="B211" t="s">
        <v>87</v>
      </c>
      <c r="C211" t="s">
        <v>88</v>
      </c>
      <c r="D211" s="11">
        <v>119.7</v>
      </c>
    </row>
    <row r="212" spans="1:4">
      <c r="A212">
        <v>336</v>
      </c>
      <c r="B212" t="s">
        <v>411</v>
      </c>
      <c r="C212" t="s">
        <v>412</v>
      </c>
      <c r="D212" s="11">
        <v>119.7</v>
      </c>
    </row>
    <row r="213" spans="1:4">
      <c r="A213">
        <v>340</v>
      </c>
      <c r="B213" t="s">
        <v>419</v>
      </c>
      <c r="C213" t="s">
        <v>420</v>
      </c>
      <c r="D213" s="11">
        <v>119.69</v>
      </c>
    </row>
    <row r="214" spans="1:4">
      <c r="A214">
        <v>167</v>
      </c>
      <c r="B214" t="s">
        <v>247</v>
      </c>
      <c r="C214" t="s">
        <v>248</v>
      </c>
      <c r="D214" s="11">
        <v>119.68</v>
      </c>
    </row>
    <row r="215" spans="1:4">
      <c r="A215">
        <v>41</v>
      </c>
      <c r="B215" t="s">
        <v>698</v>
      </c>
      <c r="C215" t="s">
        <v>578</v>
      </c>
      <c r="D215" s="11">
        <v>118.75</v>
      </c>
    </row>
    <row r="216" spans="1:4">
      <c r="A216">
        <v>531</v>
      </c>
      <c r="B216" t="s">
        <v>225</v>
      </c>
      <c r="C216" t="s">
        <v>699</v>
      </c>
      <c r="D216" s="11">
        <v>118.75</v>
      </c>
    </row>
    <row r="217" spans="1:4">
      <c r="A217">
        <v>280</v>
      </c>
      <c r="B217" t="s">
        <v>354</v>
      </c>
      <c r="C217" t="s">
        <v>355</v>
      </c>
      <c r="D217" s="11">
        <v>118.73</v>
      </c>
    </row>
    <row r="218" spans="1:4">
      <c r="A218">
        <v>292</v>
      </c>
      <c r="B218" t="s">
        <v>370</v>
      </c>
      <c r="C218" t="s">
        <v>371</v>
      </c>
      <c r="D218" s="11">
        <v>118.73</v>
      </c>
    </row>
    <row r="219" spans="1:4">
      <c r="A219">
        <v>16</v>
      </c>
      <c r="B219" t="s">
        <v>81</v>
      </c>
      <c r="C219" t="s">
        <v>82</v>
      </c>
      <c r="D219" s="11">
        <v>118.72</v>
      </c>
    </row>
    <row r="220" spans="1:4">
      <c r="A220">
        <v>266</v>
      </c>
      <c r="B220" t="s">
        <v>334</v>
      </c>
      <c r="C220" t="s">
        <v>335</v>
      </c>
      <c r="D220" s="11">
        <v>118.72</v>
      </c>
    </row>
    <row r="221" spans="1:4">
      <c r="A221">
        <v>332</v>
      </c>
      <c r="B221" t="s">
        <v>405</v>
      </c>
      <c r="C221" t="s">
        <v>406</v>
      </c>
      <c r="D221" s="11">
        <v>118.72</v>
      </c>
    </row>
    <row r="222" spans="1:4">
      <c r="A222">
        <v>529</v>
      </c>
      <c r="B222" t="s">
        <v>584</v>
      </c>
      <c r="C222" t="s">
        <v>585</v>
      </c>
      <c r="D222" s="11">
        <v>118.71</v>
      </c>
    </row>
    <row r="223" spans="1:4">
      <c r="A223">
        <v>1</v>
      </c>
      <c r="B223" t="s">
        <v>63</v>
      </c>
      <c r="C223" t="s">
        <v>64</v>
      </c>
      <c r="D223" s="11">
        <v>118.68</v>
      </c>
    </row>
    <row r="224" spans="1:4">
      <c r="A224">
        <v>442</v>
      </c>
      <c r="B224" t="s">
        <v>509</v>
      </c>
      <c r="C224" t="s">
        <v>510</v>
      </c>
      <c r="D224" s="11">
        <v>118.68</v>
      </c>
    </row>
    <row r="225" spans="1:4">
      <c r="A225">
        <v>583</v>
      </c>
      <c r="B225" t="s">
        <v>192</v>
      </c>
      <c r="C225" t="s">
        <v>700</v>
      </c>
      <c r="D225" s="11">
        <v>117.77</v>
      </c>
    </row>
    <row r="226" spans="1:4">
      <c r="A226">
        <v>490</v>
      </c>
      <c r="B226" t="s">
        <v>701</v>
      </c>
      <c r="C226" t="s">
        <v>702</v>
      </c>
      <c r="D226" s="11">
        <v>117.76</v>
      </c>
    </row>
    <row r="227" spans="1:4">
      <c r="A227">
        <v>585</v>
      </c>
      <c r="B227" t="s">
        <v>158</v>
      </c>
      <c r="C227" t="s">
        <v>703</v>
      </c>
      <c r="D227" s="11">
        <v>117.76</v>
      </c>
    </row>
    <row r="228" spans="1:4">
      <c r="A228">
        <v>536</v>
      </c>
      <c r="B228" t="s">
        <v>704</v>
      </c>
      <c r="C228" t="s">
        <v>705</v>
      </c>
      <c r="D228" s="11">
        <v>117.75</v>
      </c>
    </row>
    <row r="229" spans="1:4">
      <c r="A229">
        <v>240</v>
      </c>
      <c r="B229" t="s">
        <v>706</v>
      </c>
      <c r="C229" t="s">
        <v>707</v>
      </c>
      <c r="D229" s="11">
        <v>117.74</v>
      </c>
    </row>
    <row r="230" spans="1:4">
      <c r="A230">
        <v>286</v>
      </c>
      <c r="B230" t="s">
        <v>362</v>
      </c>
      <c r="C230" t="s">
        <v>363</v>
      </c>
      <c r="D230" s="11">
        <v>117.73</v>
      </c>
    </row>
    <row r="231" spans="1:4">
      <c r="A231">
        <v>577</v>
      </c>
      <c r="B231" t="s">
        <v>619</v>
      </c>
      <c r="C231" t="s">
        <v>620</v>
      </c>
      <c r="D231" s="11">
        <v>117.73</v>
      </c>
    </row>
    <row r="232" spans="1:4">
      <c r="A232">
        <v>14</v>
      </c>
      <c r="B232" t="s">
        <v>77</v>
      </c>
      <c r="C232" t="s">
        <v>78</v>
      </c>
      <c r="D232" s="11">
        <v>117.72</v>
      </c>
    </row>
    <row r="233" spans="1:4">
      <c r="A233">
        <v>126</v>
      </c>
      <c r="B233" t="s">
        <v>199</v>
      </c>
      <c r="C233" t="s">
        <v>200</v>
      </c>
      <c r="D233" s="11">
        <v>117.72</v>
      </c>
    </row>
    <row r="234" spans="1:4">
      <c r="A234">
        <v>386</v>
      </c>
      <c r="B234" t="s">
        <v>462</v>
      </c>
      <c r="C234" t="s">
        <v>463</v>
      </c>
      <c r="D234" s="11">
        <v>117.71</v>
      </c>
    </row>
    <row r="235" spans="1:4">
      <c r="A235">
        <v>538</v>
      </c>
      <c r="B235" t="s">
        <v>592</v>
      </c>
      <c r="C235" t="s">
        <v>593</v>
      </c>
      <c r="D235" s="11">
        <v>117.71</v>
      </c>
    </row>
    <row r="236" spans="1:4">
      <c r="A236">
        <v>42</v>
      </c>
      <c r="B236" t="s">
        <v>113</v>
      </c>
      <c r="C236" t="s">
        <v>114</v>
      </c>
      <c r="D236" s="11">
        <v>117.7</v>
      </c>
    </row>
    <row r="237" spans="1:4">
      <c r="A237">
        <v>595</v>
      </c>
      <c r="B237" t="s">
        <v>636</v>
      </c>
      <c r="C237" t="s">
        <v>637</v>
      </c>
      <c r="D237" s="11">
        <v>117.7</v>
      </c>
    </row>
    <row r="238" spans="1:4">
      <c r="A238">
        <v>321</v>
      </c>
      <c r="B238" t="s">
        <v>708</v>
      </c>
      <c r="C238" t="s">
        <v>709</v>
      </c>
      <c r="D238" s="11">
        <v>116.78</v>
      </c>
    </row>
    <row r="239" spans="1:4">
      <c r="A239">
        <v>432</v>
      </c>
      <c r="B239" t="s">
        <v>710</v>
      </c>
      <c r="C239" t="s">
        <v>711</v>
      </c>
      <c r="D239" s="11">
        <v>116.77</v>
      </c>
    </row>
    <row r="240" spans="1:4">
      <c r="A240">
        <v>408</v>
      </c>
      <c r="B240" t="s">
        <v>487</v>
      </c>
      <c r="C240" t="s">
        <v>488</v>
      </c>
      <c r="D240" s="11">
        <v>116.7</v>
      </c>
    </row>
    <row r="241" spans="1:4">
      <c r="A241">
        <v>214</v>
      </c>
      <c r="B241" t="s">
        <v>291</v>
      </c>
      <c r="C241" t="s">
        <v>292</v>
      </c>
      <c r="D241" s="11">
        <v>116.69</v>
      </c>
    </row>
    <row r="242" spans="1:4">
      <c r="A242">
        <v>446</v>
      </c>
      <c r="B242" t="s">
        <v>513</v>
      </c>
      <c r="C242" t="s">
        <v>514</v>
      </c>
      <c r="D242" s="11">
        <v>116.69</v>
      </c>
    </row>
    <row r="243" spans="1:4">
      <c r="A243">
        <v>254</v>
      </c>
      <c r="B243" t="s">
        <v>319</v>
      </c>
      <c r="C243" t="s">
        <v>320</v>
      </c>
      <c r="D243" s="11">
        <v>116.68</v>
      </c>
    </row>
    <row r="244" spans="1:4">
      <c r="A244">
        <v>304</v>
      </c>
      <c r="B244" t="s">
        <v>712</v>
      </c>
      <c r="C244" t="s">
        <v>713</v>
      </c>
      <c r="D244" s="11">
        <v>115.74</v>
      </c>
    </row>
    <row r="245" spans="1:4">
      <c r="A245">
        <v>512</v>
      </c>
      <c r="B245" t="s">
        <v>714</v>
      </c>
      <c r="C245" t="s">
        <v>715</v>
      </c>
      <c r="D245" s="11">
        <v>115.74</v>
      </c>
    </row>
    <row r="246" spans="1:4">
      <c r="A246">
        <v>58</v>
      </c>
      <c r="B246" t="s">
        <v>135</v>
      </c>
      <c r="C246" t="s">
        <v>136</v>
      </c>
      <c r="D246" s="11">
        <v>115.73</v>
      </c>
    </row>
    <row r="247" spans="1:4">
      <c r="A247">
        <v>500</v>
      </c>
      <c r="B247" t="s">
        <v>564</v>
      </c>
      <c r="C247" t="s">
        <v>565</v>
      </c>
      <c r="D247" s="11">
        <v>115.72</v>
      </c>
    </row>
    <row r="248" spans="1:4">
      <c r="A248">
        <v>25</v>
      </c>
      <c r="B248" t="s">
        <v>89</v>
      </c>
      <c r="C248" t="s">
        <v>90</v>
      </c>
      <c r="D248" s="11">
        <v>115.71</v>
      </c>
    </row>
    <row r="249" spans="1:4">
      <c r="A249">
        <v>287</v>
      </c>
      <c r="B249" t="s">
        <v>364</v>
      </c>
      <c r="C249" t="s">
        <v>365</v>
      </c>
      <c r="D249" s="11">
        <v>115.71</v>
      </c>
    </row>
    <row r="250" spans="1:4">
      <c r="A250">
        <v>481</v>
      </c>
      <c r="B250" t="s">
        <v>547</v>
      </c>
      <c r="C250" t="s">
        <v>548</v>
      </c>
      <c r="D250" s="11">
        <v>115.71</v>
      </c>
    </row>
    <row r="251" spans="1:4">
      <c r="A251">
        <v>485</v>
      </c>
      <c r="B251" t="s">
        <v>553</v>
      </c>
      <c r="C251" t="s">
        <v>554</v>
      </c>
      <c r="D251" s="11">
        <v>115.71</v>
      </c>
    </row>
    <row r="252" spans="1:4">
      <c r="A252">
        <v>588</v>
      </c>
      <c r="B252" t="s">
        <v>257</v>
      </c>
      <c r="C252" t="s">
        <v>628</v>
      </c>
      <c r="D252" s="11">
        <v>115.71</v>
      </c>
    </row>
    <row r="253" spans="1:4">
      <c r="A253">
        <v>20</v>
      </c>
      <c r="B253" t="s">
        <v>83</v>
      </c>
      <c r="C253" t="s">
        <v>84</v>
      </c>
      <c r="D253" s="11">
        <v>115.7</v>
      </c>
    </row>
    <row r="254" spans="1:4">
      <c r="A254">
        <v>53</v>
      </c>
      <c r="B254" t="s">
        <v>127</v>
      </c>
      <c r="C254" t="s">
        <v>128</v>
      </c>
      <c r="D254" s="11">
        <v>115.7</v>
      </c>
    </row>
    <row r="255" spans="1:4">
      <c r="A255">
        <v>444</v>
      </c>
      <c r="B255" t="s">
        <v>511</v>
      </c>
      <c r="C255" t="s">
        <v>512</v>
      </c>
      <c r="D255" s="11">
        <v>115.7</v>
      </c>
    </row>
    <row r="256" spans="1:4">
      <c r="A256">
        <v>503</v>
      </c>
      <c r="B256" t="s">
        <v>568</v>
      </c>
      <c r="C256" t="s">
        <v>569</v>
      </c>
      <c r="D256" s="11">
        <v>115.68</v>
      </c>
    </row>
    <row r="257" spans="1:4">
      <c r="A257">
        <v>427</v>
      </c>
      <c r="B257" t="s">
        <v>716</v>
      </c>
      <c r="C257" t="s">
        <v>717</v>
      </c>
      <c r="D257" s="11">
        <v>114.76</v>
      </c>
    </row>
    <row r="258" spans="1:4">
      <c r="A258">
        <v>343</v>
      </c>
      <c r="B258" t="s">
        <v>324</v>
      </c>
      <c r="C258" t="s">
        <v>718</v>
      </c>
      <c r="D258" s="11">
        <v>114.75</v>
      </c>
    </row>
    <row r="259" spans="1:4">
      <c r="A259">
        <v>44</v>
      </c>
      <c r="B259" t="s">
        <v>719</v>
      </c>
      <c r="C259" t="s">
        <v>720</v>
      </c>
      <c r="D259" s="11">
        <v>114.74</v>
      </c>
    </row>
    <row r="260" spans="1:4">
      <c r="A260">
        <v>171</v>
      </c>
      <c r="B260" t="s">
        <v>721</v>
      </c>
      <c r="C260" t="s">
        <v>722</v>
      </c>
      <c r="D260" s="11">
        <v>114.74</v>
      </c>
    </row>
    <row r="261" spans="1:4">
      <c r="A261">
        <v>220</v>
      </c>
      <c r="B261" t="s">
        <v>293</v>
      </c>
      <c r="C261" t="s">
        <v>294</v>
      </c>
      <c r="D261" s="11">
        <v>114.73</v>
      </c>
    </row>
    <row r="262" spans="1:4">
      <c r="A262">
        <v>57</v>
      </c>
      <c r="B262" t="s">
        <v>133</v>
      </c>
      <c r="C262" t="s">
        <v>134</v>
      </c>
      <c r="D262" s="11">
        <v>114.72</v>
      </c>
    </row>
    <row r="263" spans="1:4">
      <c r="A263">
        <v>317</v>
      </c>
      <c r="B263" t="s">
        <v>393</v>
      </c>
      <c r="C263" t="s">
        <v>394</v>
      </c>
      <c r="D263" s="11">
        <v>114.72</v>
      </c>
    </row>
    <row r="264" spans="1:4">
      <c r="A264">
        <v>338</v>
      </c>
      <c r="B264" t="s">
        <v>415</v>
      </c>
      <c r="C264" t="s">
        <v>416</v>
      </c>
      <c r="D264" s="11">
        <v>114.72</v>
      </c>
    </row>
    <row r="265" spans="1:4">
      <c r="A265">
        <v>457</v>
      </c>
      <c r="B265" t="s">
        <v>525</v>
      </c>
      <c r="C265" t="s">
        <v>526</v>
      </c>
      <c r="D265" s="11">
        <v>114.72</v>
      </c>
    </row>
    <row r="266" spans="1:4">
      <c r="A266">
        <v>186</v>
      </c>
      <c r="B266" t="s">
        <v>263</v>
      </c>
      <c r="C266" t="s">
        <v>264</v>
      </c>
      <c r="D266" s="11">
        <v>114.69</v>
      </c>
    </row>
    <row r="267" spans="1:4">
      <c r="A267">
        <v>323</v>
      </c>
      <c r="B267" t="s">
        <v>399</v>
      </c>
      <c r="C267" t="s">
        <v>400</v>
      </c>
      <c r="D267" s="11">
        <v>114.69</v>
      </c>
    </row>
    <row r="268" spans="1:4">
      <c r="A268">
        <v>22</v>
      </c>
      <c r="B268" t="s">
        <v>723</v>
      </c>
      <c r="C268" t="s">
        <v>724</v>
      </c>
      <c r="D268" s="11">
        <v>113.78</v>
      </c>
    </row>
    <row r="269" spans="1:4">
      <c r="A269">
        <v>582</v>
      </c>
      <c r="B269" t="s">
        <v>725</v>
      </c>
      <c r="C269" t="s">
        <v>726</v>
      </c>
      <c r="D269" s="11">
        <v>113.75</v>
      </c>
    </row>
    <row r="270" spans="1:4">
      <c r="A270">
        <v>294</v>
      </c>
      <c r="B270" t="s">
        <v>727</v>
      </c>
      <c r="C270" t="s">
        <v>728</v>
      </c>
      <c r="D270" s="11">
        <v>113.74</v>
      </c>
    </row>
    <row r="271" spans="1:4">
      <c r="A271">
        <v>486</v>
      </c>
      <c r="B271" t="s">
        <v>729</v>
      </c>
      <c r="C271" t="s">
        <v>730</v>
      </c>
      <c r="D271" s="11">
        <v>113.74</v>
      </c>
    </row>
    <row r="272" spans="1:4">
      <c r="A272">
        <v>593</v>
      </c>
      <c r="B272" t="s">
        <v>731</v>
      </c>
      <c r="C272" t="s">
        <v>732</v>
      </c>
      <c r="D272" s="11">
        <v>113.74</v>
      </c>
    </row>
    <row r="273" spans="1:4">
      <c r="A273">
        <v>139</v>
      </c>
      <c r="B273" t="s">
        <v>217</v>
      </c>
      <c r="C273" t="s">
        <v>218</v>
      </c>
      <c r="D273" s="11">
        <v>113.73</v>
      </c>
    </row>
    <row r="274" spans="1:4">
      <c r="A274">
        <v>113</v>
      </c>
      <c r="B274" t="s">
        <v>183</v>
      </c>
      <c r="C274" t="s">
        <v>184</v>
      </c>
      <c r="D274" s="11">
        <v>113.71</v>
      </c>
    </row>
    <row r="275" spans="1:4">
      <c r="A275">
        <v>447</v>
      </c>
      <c r="B275" t="s">
        <v>515</v>
      </c>
      <c r="C275" t="s">
        <v>516</v>
      </c>
      <c r="D275" s="11">
        <v>113.71</v>
      </c>
    </row>
    <row r="276" spans="1:4">
      <c r="A276">
        <v>157</v>
      </c>
      <c r="B276" t="s">
        <v>235</v>
      </c>
      <c r="C276" t="s">
        <v>236</v>
      </c>
      <c r="D276" s="11">
        <v>113.69</v>
      </c>
    </row>
    <row r="277" spans="1:4">
      <c r="A277">
        <v>91</v>
      </c>
      <c r="B277" t="s">
        <v>167</v>
      </c>
      <c r="C277" t="s">
        <v>168</v>
      </c>
      <c r="D277" s="11">
        <v>113.65</v>
      </c>
    </row>
    <row r="278" spans="1:4">
      <c r="A278">
        <v>493</v>
      </c>
      <c r="B278" t="s">
        <v>733</v>
      </c>
      <c r="C278" t="s">
        <v>734</v>
      </c>
      <c r="D278" s="11">
        <v>112.77</v>
      </c>
    </row>
    <row r="279" spans="1:4">
      <c r="A279">
        <v>540</v>
      </c>
      <c r="B279" t="s">
        <v>735</v>
      </c>
      <c r="C279" t="s">
        <v>736</v>
      </c>
      <c r="D279" s="11">
        <v>112.76</v>
      </c>
    </row>
    <row r="280" spans="1:4">
      <c r="A280">
        <v>63</v>
      </c>
      <c r="B280" t="s">
        <v>737</v>
      </c>
      <c r="C280" t="s">
        <v>738</v>
      </c>
      <c r="D280" s="11">
        <v>112.75</v>
      </c>
    </row>
    <row r="281" spans="1:4">
      <c r="A281">
        <v>590</v>
      </c>
      <c r="B281" t="s">
        <v>739</v>
      </c>
      <c r="C281" t="s">
        <v>740</v>
      </c>
      <c r="D281" s="11">
        <v>112.75</v>
      </c>
    </row>
    <row r="282" spans="1:4">
      <c r="A282">
        <v>327</v>
      </c>
      <c r="B282" t="s">
        <v>741</v>
      </c>
      <c r="C282" t="s">
        <v>742</v>
      </c>
      <c r="D282" s="11">
        <v>112.74</v>
      </c>
    </row>
    <row r="283" spans="1:4">
      <c r="A283">
        <v>407</v>
      </c>
      <c r="B283" t="s">
        <v>485</v>
      </c>
      <c r="C283" t="s">
        <v>486</v>
      </c>
      <c r="D283" s="11">
        <v>112.73</v>
      </c>
    </row>
    <row r="284" spans="1:4">
      <c r="A284">
        <v>441</v>
      </c>
      <c r="B284" t="s">
        <v>507</v>
      </c>
      <c r="C284" t="s">
        <v>508</v>
      </c>
      <c r="D284" s="11">
        <v>112.72</v>
      </c>
    </row>
    <row r="285" spans="1:4">
      <c r="A285">
        <v>161</v>
      </c>
      <c r="B285" t="s">
        <v>241</v>
      </c>
      <c r="C285" t="s">
        <v>242</v>
      </c>
      <c r="D285" s="11">
        <v>112.7</v>
      </c>
    </row>
    <row r="286" spans="1:4">
      <c r="A286">
        <v>256</v>
      </c>
      <c r="B286" t="s">
        <v>321</v>
      </c>
      <c r="C286" t="s">
        <v>322</v>
      </c>
      <c r="D286" s="11">
        <v>112.7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AD2B-38DC-4211-889C-14937AF56198}">
  <dimension ref="A1:J19"/>
  <sheetViews>
    <sheetView workbookViewId="0">
      <selection activeCell="I18" sqref="I18"/>
    </sheetView>
  </sheetViews>
  <sheetFormatPr defaultRowHeight="14.5"/>
  <cols>
    <col min="1" max="1" width="21.26953125" bestFit="1" customWidth="1"/>
    <col min="2" max="2" width="13.36328125" customWidth="1"/>
    <col min="3" max="3" width="15.7265625" customWidth="1"/>
    <col min="4" max="4" width="12.7265625" customWidth="1"/>
  </cols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6</v>
      </c>
      <c r="B2">
        <v>34</v>
      </c>
      <c r="C2">
        <v>16.747399999999999</v>
      </c>
      <c r="D2" t="s">
        <v>7</v>
      </c>
    </row>
    <row r="3" spans="1:4">
      <c r="A3" t="s">
        <v>8</v>
      </c>
      <c r="B3">
        <v>33</v>
      </c>
      <c r="C3">
        <v>16.747399999999999</v>
      </c>
      <c r="D3" t="s">
        <v>7</v>
      </c>
    </row>
    <row r="4" spans="1:4">
      <c r="A4" t="s">
        <v>9</v>
      </c>
      <c r="B4">
        <v>32</v>
      </c>
      <c r="C4">
        <v>16.747399999999999</v>
      </c>
      <c r="D4" t="s">
        <v>7</v>
      </c>
    </row>
    <row r="5" spans="1:4">
      <c r="A5" t="s">
        <v>10</v>
      </c>
      <c r="B5">
        <v>32</v>
      </c>
      <c r="C5">
        <v>16.747399999999999</v>
      </c>
      <c r="D5" t="s">
        <v>7</v>
      </c>
    </row>
    <row r="6" spans="1:4">
      <c r="A6" t="s">
        <v>11</v>
      </c>
      <c r="B6">
        <v>32</v>
      </c>
      <c r="C6">
        <v>16.747399999999999</v>
      </c>
      <c r="D6" t="s">
        <v>7</v>
      </c>
    </row>
    <row r="7" spans="1:4">
      <c r="A7" t="s">
        <v>12</v>
      </c>
      <c r="B7">
        <v>32</v>
      </c>
      <c r="C7">
        <v>16.747399999999999</v>
      </c>
      <c r="D7" t="s">
        <v>7</v>
      </c>
    </row>
    <row r="8" spans="1:4">
      <c r="A8" t="s">
        <v>13</v>
      </c>
      <c r="B8">
        <v>32</v>
      </c>
      <c r="C8">
        <v>16.747399999999999</v>
      </c>
      <c r="D8" t="s">
        <v>7</v>
      </c>
    </row>
    <row r="9" spans="1:4">
      <c r="A9" t="s">
        <v>14</v>
      </c>
      <c r="B9">
        <v>31</v>
      </c>
      <c r="C9">
        <v>16.747399999999999</v>
      </c>
      <c r="D9" t="s">
        <v>7</v>
      </c>
    </row>
    <row r="10" spans="1:4">
      <c r="A10" t="s">
        <v>15</v>
      </c>
      <c r="B10">
        <v>31</v>
      </c>
      <c r="C10">
        <v>16.747399999999999</v>
      </c>
      <c r="D10" t="s">
        <v>7</v>
      </c>
    </row>
    <row r="11" spans="1:4">
      <c r="A11" t="s">
        <v>16</v>
      </c>
      <c r="B11">
        <v>31</v>
      </c>
      <c r="C11">
        <v>16.747399999999999</v>
      </c>
      <c r="D11" t="s">
        <v>7</v>
      </c>
    </row>
    <row r="18" spans="6:10">
      <c r="F18" s="13" t="s">
        <v>1231</v>
      </c>
      <c r="I18" s="13" t="s">
        <v>1232</v>
      </c>
      <c r="J18" s="13"/>
    </row>
    <row r="19" spans="6:10">
      <c r="F19">
        <f>C2</f>
        <v>16.747399999999999</v>
      </c>
      <c r="I19">
        <f>MAX(B2:B11)</f>
        <v>34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8994-E9A0-4742-88C7-9AC5ACBD8B8F}">
  <dimension ref="A1:D43"/>
  <sheetViews>
    <sheetView workbookViewId="0">
      <selection activeCell="D2" sqref="D2"/>
    </sheetView>
  </sheetViews>
  <sheetFormatPr defaultRowHeight="14.5"/>
  <cols>
    <col min="1" max="1" width="8.6328125" customWidth="1"/>
    <col min="2" max="2" width="24.6328125" bestFit="1" customWidth="1"/>
  </cols>
  <sheetData>
    <row r="1" spans="1:4">
      <c r="A1" t="s">
        <v>17</v>
      </c>
      <c r="B1" t="s">
        <v>2</v>
      </c>
    </row>
    <row r="2" spans="1:4">
      <c r="A2">
        <v>14</v>
      </c>
      <c r="B2" t="s">
        <v>18</v>
      </c>
      <c r="D2" s="13" t="s">
        <v>1233</v>
      </c>
    </row>
    <row r="3" spans="1:4">
      <c r="A3">
        <v>33</v>
      </c>
      <c r="B3" t="s">
        <v>19</v>
      </c>
      <c r="D3">
        <f>COUNTA(B2:B43)</f>
        <v>42</v>
      </c>
    </row>
    <row r="4" spans="1:4">
      <c r="A4">
        <v>36</v>
      </c>
      <c r="B4" t="s">
        <v>20</v>
      </c>
    </row>
    <row r="5" spans="1:4">
      <c r="A5">
        <v>38</v>
      </c>
      <c r="B5" t="s">
        <v>21</v>
      </c>
    </row>
    <row r="6" spans="1:4">
      <c r="A6">
        <v>41</v>
      </c>
      <c r="B6" t="s">
        <v>22</v>
      </c>
    </row>
    <row r="7" spans="1:4">
      <c r="A7">
        <v>87</v>
      </c>
      <c r="B7" t="s">
        <v>23</v>
      </c>
    </row>
    <row r="8" spans="1:4">
      <c r="A8">
        <v>108</v>
      </c>
      <c r="B8" t="s">
        <v>24</v>
      </c>
    </row>
    <row r="9" spans="1:4">
      <c r="A9">
        <v>128</v>
      </c>
      <c r="B9" t="s">
        <v>25</v>
      </c>
    </row>
    <row r="10" spans="1:4">
      <c r="A10">
        <v>144</v>
      </c>
      <c r="B10" t="s">
        <v>26</v>
      </c>
    </row>
    <row r="11" spans="1:4">
      <c r="A11">
        <v>148</v>
      </c>
      <c r="B11" t="s">
        <v>27</v>
      </c>
    </row>
    <row r="12" spans="1:4">
      <c r="A12">
        <v>171</v>
      </c>
      <c r="B12" t="s">
        <v>28</v>
      </c>
    </row>
    <row r="13" spans="1:4">
      <c r="A13">
        <v>192</v>
      </c>
      <c r="B13" t="s">
        <v>29</v>
      </c>
    </row>
    <row r="14" spans="1:4">
      <c r="A14">
        <v>195</v>
      </c>
      <c r="B14" t="s">
        <v>30</v>
      </c>
    </row>
    <row r="15" spans="1:4">
      <c r="A15">
        <v>198</v>
      </c>
      <c r="B15" t="s">
        <v>31</v>
      </c>
    </row>
    <row r="16" spans="1:4">
      <c r="A16">
        <v>217</v>
      </c>
      <c r="B16" t="s">
        <v>32</v>
      </c>
    </row>
    <row r="17" spans="1:2">
      <c r="A17">
        <v>221</v>
      </c>
      <c r="B17" t="s">
        <v>33</v>
      </c>
    </row>
    <row r="18" spans="1:2">
      <c r="A18">
        <v>318</v>
      </c>
      <c r="B18" t="s">
        <v>34</v>
      </c>
    </row>
    <row r="19" spans="1:2">
      <c r="A19">
        <v>325</v>
      </c>
      <c r="B19" t="s">
        <v>35</v>
      </c>
    </row>
    <row r="20" spans="1:2">
      <c r="A20">
        <v>332</v>
      </c>
      <c r="B20" t="s">
        <v>36</v>
      </c>
    </row>
    <row r="21" spans="1:2">
      <c r="A21">
        <v>359</v>
      </c>
      <c r="B21" t="s">
        <v>37</v>
      </c>
    </row>
    <row r="22" spans="1:2">
      <c r="A22">
        <v>386</v>
      </c>
      <c r="B22" t="s">
        <v>38</v>
      </c>
    </row>
    <row r="23" spans="1:2">
      <c r="A23">
        <v>404</v>
      </c>
      <c r="B23" t="s">
        <v>39</v>
      </c>
    </row>
    <row r="24" spans="1:2">
      <c r="A24">
        <v>419</v>
      </c>
      <c r="B24" t="s">
        <v>40</v>
      </c>
    </row>
    <row r="25" spans="1:2">
      <c r="A25">
        <v>495</v>
      </c>
      <c r="B25" t="s">
        <v>41</v>
      </c>
    </row>
    <row r="26" spans="1:2">
      <c r="A26">
        <v>497</v>
      </c>
      <c r="B26" t="s">
        <v>42</v>
      </c>
    </row>
    <row r="27" spans="1:2">
      <c r="A27">
        <v>607</v>
      </c>
      <c r="B27" t="s">
        <v>43</v>
      </c>
    </row>
    <row r="28" spans="1:2">
      <c r="A28">
        <v>642</v>
      </c>
      <c r="B28" t="s">
        <v>44</v>
      </c>
    </row>
    <row r="29" spans="1:2">
      <c r="A29">
        <v>669</v>
      </c>
      <c r="B29" t="s">
        <v>45</v>
      </c>
    </row>
    <row r="30" spans="1:2">
      <c r="A30">
        <v>671</v>
      </c>
      <c r="B30" t="s">
        <v>46</v>
      </c>
    </row>
    <row r="31" spans="1:2">
      <c r="A31">
        <v>701</v>
      </c>
      <c r="B31" t="s">
        <v>47</v>
      </c>
    </row>
    <row r="32" spans="1:2">
      <c r="A32">
        <v>712</v>
      </c>
      <c r="B32" t="s">
        <v>48</v>
      </c>
    </row>
    <row r="33" spans="1:2">
      <c r="A33">
        <v>713</v>
      </c>
      <c r="B33" t="s">
        <v>49</v>
      </c>
    </row>
    <row r="34" spans="1:2">
      <c r="A34">
        <v>742</v>
      </c>
      <c r="B34" t="s">
        <v>50</v>
      </c>
    </row>
    <row r="35" spans="1:2">
      <c r="A35">
        <v>801</v>
      </c>
      <c r="B35" t="s">
        <v>51</v>
      </c>
    </row>
    <row r="36" spans="1:2">
      <c r="A36">
        <v>802</v>
      </c>
      <c r="B36" t="s">
        <v>52</v>
      </c>
    </row>
    <row r="37" spans="1:2">
      <c r="A37">
        <v>860</v>
      </c>
      <c r="B37" t="s">
        <v>53</v>
      </c>
    </row>
    <row r="38" spans="1:2">
      <c r="A38">
        <v>874</v>
      </c>
      <c r="B38" t="s">
        <v>54</v>
      </c>
    </row>
    <row r="39" spans="1:2">
      <c r="A39">
        <v>909</v>
      </c>
      <c r="B39" t="s">
        <v>55</v>
      </c>
    </row>
    <row r="40" spans="1:2">
      <c r="A40">
        <v>943</v>
      </c>
      <c r="B40" t="s">
        <v>56</v>
      </c>
    </row>
    <row r="41" spans="1:2">
      <c r="A41">
        <v>950</v>
      </c>
      <c r="B41" t="s">
        <v>57</v>
      </c>
    </row>
    <row r="42" spans="1:2">
      <c r="A42">
        <v>954</v>
      </c>
      <c r="B42" t="s">
        <v>58</v>
      </c>
    </row>
    <row r="43" spans="1:2">
      <c r="A43">
        <v>955</v>
      </c>
      <c r="B43" t="s">
        <v>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C985-216F-42CB-8601-FAD91291F28B}">
  <dimension ref="A1:J297"/>
  <sheetViews>
    <sheetView workbookViewId="0">
      <selection activeCell="J2" sqref="J2"/>
    </sheetView>
  </sheetViews>
  <sheetFormatPr defaultRowHeight="14.5"/>
  <cols>
    <col min="1" max="1" width="13.1796875" customWidth="1"/>
    <col min="2" max="2" width="11.7265625" customWidth="1"/>
    <col min="3" max="3" width="11.453125" customWidth="1"/>
    <col min="4" max="4" width="9.453125" customWidth="1"/>
    <col min="5" max="5" width="13.36328125" customWidth="1"/>
    <col min="7" max="7" width="12.453125" bestFit="1" customWidth="1"/>
    <col min="8" max="8" width="19.1796875" bestFit="1" customWidth="1"/>
    <col min="9" max="9" width="10.36328125" bestFit="1" customWidth="1"/>
  </cols>
  <sheetData>
    <row r="1" spans="1:10">
      <c r="A1" t="s">
        <v>0</v>
      </c>
      <c r="B1" t="s">
        <v>60</v>
      </c>
      <c r="C1" t="s">
        <v>61</v>
      </c>
      <c r="D1" t="s">
        <v>62</v>
      </c>
      <c r="E1" t="s">
        <v>3</v>
      </c>
    </row>
    <row r="2" spans="1:10">
      <c r="A2">
        <v>1</v>
      </c>
      <c r="B2" t="s">
        <v>63</v>
      </c>
      <c r="C2" t="s">
        <v>64</v>
      </c>
      <c r="D2">
        <v>1</v>
      </c>
      <c r="E2">
        <v>32</v>
      </c>
      <c r="G2" s="14" t="s">
        <v>1234</v>
      </c>
      <c r="J2" s="13" t="s">
        <v>1232</v>
      </c>
    </row>
    <row r="3" spans="1:10">
      <c r="A3">
        <v>2</v>
      </c>
      <c r="B3" t="s">
        <v>65</v>
      </c>
      <c r="C3" t="s">
        <v>66</v>
      </c>
      <c r="D3">
        <v>1</v>
      </c>
      <c r="E3">
        <v>27</v>
      </c>
      <c r="G3">
        <f>COUNTA(A2:A297)</f>
        <v>296</v>
      </c>
      <c r="J3">
        <f>MAX(E2:E297)</f>
        <v>46</v>
      </c>
    </row>
    <row r="4" spans="1:10">
      <c r="A4">
        <v>5</v>
      </c>
      <c r="B4" t="s">
        <v>67</v>
      </c>
      <c r="C4" t="s">
        <v>68</v>
      </c>
      <c r="D4">
        <v>1</v>
      </c>
      <c r="E4">
        <v>38</v>
      </c>
    </row>
    <row r="5" spans="1:10">
      <c r="A5">
        <v>6</v>
      </c>
      <c r="B5" t="s">
        <v>69</v>
      </c>
      <c r="C5" t="s">
        <v>70</v>
      </c>
      <c r="D5">
        <v>2</v>
      </c>
      <c r="E5">
        <v>28</v>
      </c>
      <c r="G5" s="1" t="s">
        <v>1236</v>
      </c>
      <c r="H5" t="s">
        <v>1237</v>
      </c>
    </row>
    <row r="6" spans="1:10">
      <c r="A6">
        <v>7</v>
      </c>
      <c r="B6" t="s">
        <v>71</v>
      </c>
      <c r="C6" t="s">
        <v>72</v>
      </c>
      <c r="D6">
        <v>1</v>
      </c>
      <c r="E6">
        <v>33</v>
      </c>
      <c r="G6" s="2">
        <v>1</v>
      </c>
      <c r="H6">
        <v>162</v>
      </c>
    </row>
    <row r="7" spans="1:10">
      <c r="A7">
        <v>12</v>
      </c>
      <c r="B7" t="s">
        <v>73</v>
      </c>
      <c r="C7" t="s">
        <v>74</v>
      </c>
      <c r="D7">
        <v>1</v>
      </c>
      <c r="E7">
        <v>28</v>
      </c>
      <c r="G7" s="2">
        <v>2</v>
      </c>
      <c r="H7">
        <v>134</v>
      </c>
    </row>
    <row r="8" spans="1:10">
      <c r="A8">
        <v>13</v>
      </c>
      <c r="B8" t="s">
        <v>75</v>
      </c>
      <c r="C8" t="s">
        <v>76</v>
      </c>
      <c r="D8">
        <v>2</v>
      </c>
      <c r="E8">
        <v>27</v>
      </c>
      <c r="G8" s="2" t="s">
        <v>1235</v>
      </c>
      <c r="H8">
        <v>296</v>
      </c>
    </row>
    <row r="9" spans="1:10">
      <c r="A9">
        <v>14</v>
      </c>
      <c r="B9" t="s">
        <v>77</v>
      </c>
      <c r="C9" t="s">
        <v>78</v>
      </c>
      <c r="D9">
        <v>2</v>
      </c>
      <c r="E9">
        <v>28</v>
      </c>
    </row>
    <row r="10" spans="1:10">
      <c r="A10">
        <v>15</v>
      </c>
      <c r="B10" t="s">
        <v>79</v>
      </c>
      <c r="C10" t="s">
        <v>80</v>
      </c>
      <c r="D10">
        <v>1</v>
      </c>
      <c r="E10">
        <v>32</v>
      </c>
    </row>
    <row r="11" spans="1:10">
      <c r="A11">
        <v>16</v>
      </c>
      <c r="B11" t="s">
        <v>81</v>
      </c>
      <c r="C11" t="s">
        <v>82</v>
      </c>
      <c r="D11">
        <v>2</v>
      </c>
      <c r="E11">
        <v>28</v>
      </c>
    </row>
    <row r="12" spans="1:10">
      <c r="A12">
        <v>20</v>
      </c>
      <c r="B12" t="s">
        <v>83</v>
      </c>
      <c r="C12" t="s">
        <v>84</v>
      </c>
      <c r="D12">
        <v>2</v>
      </c>
      <c r="E12">
        <v>30</v>
      </c>
    </row>
    <row r="13" spans="1:10">
      <c r="A13">
        <v>21</v>
      </c>
      <c r="B13" t="s">
        <v>85</v>
      </c>
      <c r="C13" t="s">
        <v>86</v>
      </c>
      <c r="D13">
        <v>1</v>
      </c>
      <c r="E13">
        <v>35</v>
      </c>
    </row>
    <row r="14" spans="1:10">
      <c r="A14">
        <v>23</v>
      </c>
      <c r="B14" t="s">
        <v>87</v>
      </c>
      <c r="C14" t="s">
        <v>88</v>
      </c>
      <c r="D14">
        <v>2</v>
      </c>
      <c r="E14">
        <v>30</v>
      </c>
    </row>
    <row r="15" spans="1:10">
      <c r="A15">
        <v>25</v>
      </c>
      <c r="B15" t="s">
        <v>89</v>
      </c>
      <c r="C15" t="s">
        <v>90</v>
      </c>
      <c r="D15">
        <v>1</v>
      </c>
      <c r="E15">
        <v>29</v>
      </c>
    </row>
    <row r="16" spans="1:10">
      <c r="A16">
        <v>26</v>
      </c>
      <c r="B16" t="s">
        <v>91</v>
      </c>
      <c r="C16" t="s">
        <v>92</v>
      </c>
      <c r="D16">
        <v>2</v>
      </c>
      <c r="E16">
        <v>34</v>
      </c>
    </row>
    <row r="17" spans="1:5">
      <c r="A17">
        <v>27</v>
      </c>
      <c r="B17" t="s">
        <v>93</v>
      </c>
      <c r="C17" t="s">
        <v>94</v>
      </c>
      <c r="D17">
        <v>2</v>
      </c>
      <c r="E17">
        <v>31</v>
      </c>
    </row>
    <row r="18" spans="1:5">
      <c r="A18">
        <v>28</v>
      </c>
      <c r="B18" t="s">
        <v>95</v>
      </c>
      <c r="C18" t="s">
        <v>96</v>
      </c>
      <c r="D18">
        <v>1</v>
      </c>
      <c r="E18">
        <v>32</v>
      </c>
    </row>
    <row r="19" spans="1:5">
      <c r="A19">
        <v>29</v>
      </c>
      <c r="B19" t="s">
        <v>97</v>
      </c>
      <c r="C19" t="s">
        <v>98</v>
      </c>
      <c r="D19">
        <v>2</v>
      </c>
      <c r="E19">
        <v>36</v>
      </c>
    </row>
    <row r="20" spans="1:5">
      <c r="A20">
        <v>30</v>
      </c>
      <c r="B20" t="s">
        <v>99</v>
      </c>
      <c r="C20" t="s">
        <v>100</v>
      </c>
      <c r="D20">
        <v>1</v>
      </c>
      <c r="E20">
        <v>34</v>
      </c>
    </row>
    <row r="21" spans="1:5">
      <c r="A21">
        <v>32</v>
      </c>
      <c r="B21" t="s">
        <v>101</v>
      </c>
      <c r="C21" t="s">
        <v>102</v>
      </c>
      <c r="D21">
        <v>1</v>
      </c>
      <c r="E21">
        <v>29</v>
      </c>
    </row>
    <row r="22" spans="1:5">
      <c r="A22">
        <v>35</v>
      </c>
      <c r="B22" t="s">
        <v>103</v>
      </c>
      <c r="C22" t="s">
        <v>104</v>
      </c>
      <c r="D22">
        <v>2</v>
      </c>
      <c r="E22">
        <v>32</v>
      </c>
    </row>
    <row r="23" spans="1:5">
      <c r="A23">
        <v>36</v>
      </c>
      <c r="B23" t="s">
        <v>105</v>
      </c>
      <c r="C23" t="s">
        <v>106</v>
      </c>
      <c r="D23">
        <v>2</v>
      </c>
      <c r="E23">
        <v>27</v>
      </c>
    </row>
    <row r="24" spans="1:5">
      <c r="A24">
        <v>38</v>
      </c>
      <c r="B24" t="s">
        <v>107</v>
      </c>
      <c r="C24" t="s">
        <v>108</v>
      </c>
      <c r="D24">
        <v>1</v>
      </c>
      <c r="E24">
        <v>34</v>
      </c>
    </row>
    <row r="25" spans="1:5">
      <c r="A25">
        <v>39</v>
      </c>
      <c r="B25" t="s">
        <v>109</v>
      </c>
      <c r="C25" t="s">
        <v>110</v>
      </c>
      <c r="D25">
        <v>1</v>
      </c>
      <c r="E25">
        <v>29</v>
      </c>
    </row>
    <row r="26" spans="1:5">
      <c r="A26">
        <v>40</v>
      </c>
      <c r="B26" t="s">
        <v>111</v>
      </c>
      <c r="C26" t="s">
        <v>112</v>
      </c>
      <c r="D26">
        <v>2</v>
      </c>
      <c r="E26">
        <v>27</v>
      </c>
    </row>
    <row r="27" spans="1:5">
      <c r="A27">
        <v>42</v>
      </c>
      <c r="B27" t="s">
        <v>113</v>
      </c>
      <c r="C27" t="s">
        <v>114</v>
      </c>
      <c r="D27">
        <v>2</v>
      </c>
      <c r="E27">
        <v>30</v>
      </c>
    </row>
    <row r="28" spans="1:5">
      <c r="A28">
        <v>45</v>
      </c>
      <c r="B28" t="s">
        <v>115</v>
      </c>
      <c r="C28" t="s">
        <v>116</v>
      </c>
      <c r="D28">
        <v>1</v>
      </c>
      <c r="E28">
        <v>27</v>
      </c>
    </row>
    <row r="29" spans="1:5">
      <c r="A29">
        <v>46</v>
      </c>
      <c r="B29" t="s">
        <v>117</v>
      </c>
      <c r="C29" t="s">
        <v>118</v>
      </c>
      <c r="D29">
        <v>2</v>
      </c>
      <c r="E29">
        <v>34</v>
      </c>
    </row>
    <row r="30" spans="1:5">
      <c r="A30">
        <v>49</v>
      </c>
      <c r="B30" t="s">
        <v>119</v>
      </c>
      <c r="C30" t="s">
        <v>120</v>
      </c>
      <c r="D30">
        <v>2</v>
      </c>
      <c r="E30">
        <v>28</v>
      </c>
    </row>
    <row r="31" spans="1:5">
      <c r="A31">
        <v>50</v>
      </c>
      <c r="B31" t="s">
        <v>121</v>
      </c>
      <c r="C31" t="s">
        <v>122</v>
      </c>
      <c r="D31">
        <v>1</v>
      </c>
      <c r="E31">
        <v>35</v>
      </c>
    </row>
    <row r="32" spans="1:5">
      <c r="A32">
        <v>51</v>
      </c>
      <c r="B32" t="s">
        <v>123</v>
      </c>
      <c r="C32" t="s">
        <v>124</v>
      </c>
      <c r="D32">
        <v>1</v>
      </c>
      <c r="E32">
        <v>33</v>
      </c>
    </row>
    <row r="33" spans="1:5">
      <c r="A33">
        <v>52</v>
      </c>
      <c r="B33" t="s">
        <v>125</v>
      </c>
      <c r="C33" t="s">
        <v>126</v>
      </c>
      <c r="D33">
        <v>1</v>
      </c>
      <c r="E33">
        <v>29</v>
      </c>
    </row>
    <row r="34" spans="1:5">
      <c r="A34">
        <v>53</v>
      </c>
      <c r="B34" t="s">
        <v>127</v>
      </c>
      <c r="C34" t="s">
        <v>128</v>
      </c>
      <c r="D34">
        <v>1</v>
      </c>
      <c r="E34">
        <v>30</v>
      </c>
    </row>
    <row r="35" spans="1:5">
      <c r="A35">
        <v>54</v>
      </c>
      <c r="B35" t="s">
        <v>129</v>
      </c>
      <c r="C35" t="s">
        <v>130</v>
      </c>
      <c r="D35">
        <v>1</v>
      </c>
      <c r="E35">
        <v>29</v>
      </c>
    </row>
    <row r="36" spans="1:5">
      <c r="A36">
        <v>56</v>
      </c>
      <c r="B36" t="s">
        <v>131</v>
      </c>
      <c r="C36" t="s">
        <v>132</v>
      </c>
      <c r="D36">
        <v>1</v>
      </c>
      <c r="E36">
        <v>30</v>
      </c>
    </row>
    <row r="37" spans="1:5">
      <c r="A37">
        <v>57</v>
      </c>
      <c r="B37" t="s">
        <v>133</v>
      </c>
      <c r="C37" t="s">
        <v>134</v>
      </c>
      <c r="D37">
        <v>2</v>
      </c>
      <c r="E37">
        <v>28</v>
      </c>
    </row>
    <row r="38" spans="1:5">
      <c r="A38">
        <v>58</v>
      </c>
      <c r="B38" t="s">
        <v>135</v>
      </c>
      <c r="C38" t="s">
        <v>136</v>
      </c>
      <c r="D38">
        <v>1</v>
      </c>
      <c r="E38">
        <v>27</v>
      </c>
    </row>
    <row r="39" spans="1:5">
      <c r="A39">
        <v>59</v>
      </c>
      <c r="B39" t="s">
        <v>137</v>
      </c>
      <c r="C39" t="s">
        <v>138</v>
      </c>
      <c r="D39">
        <v>1</v>
      </c>
      <c r="E39">
        <v>27</v>
      </c>
    </row>
    <row r="40" spans="1:5">
      <c r="A40">
        <v>64</v>
      </c>
      <c r="B40" t="s">
        <v>139</v>
      </c>
      <c r="C40" t="s">
        <v>140</v>
      </c>
      <c r="D40">
        <v>2</v>
      </c>
      <c r="E40">
        <v>33</v>
      </c>
    </row>
    <row r="41" spans="1:5">
      <c r="A41">
        <v>66</v>
      </c>
      <c r="B41" t="s">
        <v>141</v>
      </c>
      <c r="C41" t="s">
        <v>142</v>
      </c>
      <c r="D41">
        <v>2</v>
      </c>
      <c r="E41">
        <v>34</v>
      </c>
    </row>
    <row r="42" spans="1:5">
      <c r="A42">
        <v>71</v>
      </c>
      <c r="B42" t="s">
        <v>143</v>
      </c>
      <c r="C42" t="s">
        <v>144</v>
      </c>
      <c r="D42">
        <v>1</v>
      </c>
      <c r="E42">
        <v>30</v>
      </c>
    </row>
    <row r="43" spans="1:5">
      <c r="A43">
        <v>72</v>
      </c>
      <c r="B43" t="s">
        <v>145</v>
      </c>
      <c r="C43" t="s">
        <v>146</v>
      </c>
      <c r="D43">
        <v>2</v>
      </c>
      <c r="E43">
        <v>30</v>
      </c>
    </row>
    <row r="44" spans="1:5">
      <c r="A44">
        <v>74</v>
      </c>
      <c r="B44" t="s">
        <v>147</v>
      </c>
      <c r="C44" t="s">
        <v>148</v>
      </c>
      <c r="D44">
        <v>1</v>
      </c>
      <c r="E44">
        <v>27</v>
      </c>
    </row>
    <row r="45" spans="1:5">
      <c r="A45">
        <v>75</v>
      </c>
      <c r="B45" t="s">
        <v>149</v>
      </c>
      <c r="C45" t="s">
        <v>150</v>
      </c>
      <c r="D45">
        <v>2</v>
      </c>
      <c r="E45">
        <v>41</v>
      </c>
    </row>
    <row r="46" spans="1:5">
      <c r="A46">
        <v>77</v>
      </c>
      <c r="B46" t="s">
        <v>151</v>
      </c>
      <c r="C46" t="s">
        <v>152</v>
      </c>
      <c r="D46">
        <v>2</v>
      </c>
      <c r="E46">
        <v>28</v>
      </c>
    </row>
    <row r="47" spans="1:5">
      <c r="A47">
        <v>78</v>
      </c>
      <c r="B47" t="s">
        <v>153</v>
      </c>
      <c r="C47" t="s">
        <v>154</v>
      </c>
      <c r="D47">
        <v>1</v>
      </c>
      <c r="E47">
        <v>31</v>
      </c>
    </row>
    <row r="48" spans="1:5">
      <c r="A48">
        <v>80</v>
      </c>
      <c r="B48" t="s">
        <v>155</v>
      </c>
      <c r="C48" t="s">
        <v>156</v>
      </c>
      <c r="D48">
        <v>1</v>
      </c>
      <c r="E48">
        <v>30</v>
      </c>
    </row>
    <row r="49" spans="1:5">
      <c r="A49">
        <v>84</v>
      </c>
      <c r="B49" t="s">
        <v>157</v>
      </c>
      <c r="C49" t="s">
        <v>158</v>
      </c>
      <c r="D49">
        <v>2</v>
      </c>
      <c r="E49">
        <v>33</v>
      </c>
    </row>
    <row r="50" spans="1:5">
      <c r="A50">
        <v>86</v>
      </c>
      <c r="B50" t="s">
        <v>159</v>
      </c>
      <c r="C50" t="s">
        <v>160</v>
      </c>
      <c r="D50">
        <v>2</v>
      </c>
      <c r="E50">
        <v>33</v>
      </c>
    </row>
    <row r="51" spans="1:5">
      <c r="A51">
        <v>87</v>
      </c>
      <c r="B51" t="s">
        <v>161</v>
      </c>
      <c r="C51" t="s">
        <v>162</v>
      </c>
      <c r="D51">
        <v>1</v>
      </c>
      <c r="E51">
        <v>30</v>
      </c>
    </row>
    <row r="52" spans="1:5">
      <c r="A52">
        <v>89</v>
      </c>
      <c r="B52" t="s">
        <v>163</v>
      </c>
      <c r="C52" t="s">
        <v>164</v>
      </c>
      <c r="D52">
        <v>1</v>
      </c>
      <c r="E52">
        <v>32</v>
      </c>
    </row>
    <row r="53" spans="1:5">
      <c r="A53">
        <v>90</v>
      </c>
      <c r="B53" t="s">
        <v>165</v>
      </c>
      <c r="C53" t="s">
        <v>166</v>
      </c>
      <c r="D53">
        <v>2</v>
      </c>
      <c r="E53">
        <v>28</v>
      </c>
    </row>
    <row r="54" spans="1:5">
      <c r="A54">
        <v>91</v>
      </c>
      <c r="B54" t="s">
        <v>167</v>
      </c>
      <c r="C54" t="s">
        <v>168</v>
      </c>
      <c r="D54">
        <v>2</v>
      </c>
      <c r="E54">
        <v>35</v>
      </c>
    </row>
    <row r="55" spans="1:5">
      <c r="A55">
        <v>92</v>
      </c>
      <c r="B55" t="s">
        <v>169</v>
      </c>
      <c r="C55" t="s">
        <v>170</v>
      </c>
      <c r="D55">
        <v>2</v>
      </c>
      <c r="E55">
        <v>28</v>
      </c>
    </row>
    <row r="56" spans="1:5">
      <c r="A56">
        <v>96</v>
      </c>
      <c r="B56" t="s">
        <v>171</v>
      </c>
      <c r="C56" t="s">
        <v>172</v>
      </c>
      <c r="D56">
        <v>1</v>
      </c>
      <c r="E56">
        <v>27</v>
      </c>
    </row>
    <row r="57" spans="1:5">
      <c r="A57">
        <v>102</v>
      </c>
      <c r="B57" t="s">
        <v>173</v>
      </c>
      <c r="C57" t="s">
        <v>174</v>
      </c>
      <c r="D57">
        <v>1</v>
      </c>
      <c r="E57">
        <v>33</v>
      </c>
    </row>
    <row r="58" spans="1:5">
      <c r="A58">
        <v>103</v>
      </c>
      <c r="B58" t="s">
        <v>175</v>
      </c>
      <c r="C58" t="s">
        <v>176</v>
      </c>
      <c r="D58">
        <v>1</v>
      </c>
      <c r="E58">
        <v>31</v>
      </c>
    </row>
    <row r="59" spans="1:5">
      <c r="A59">
        <v>107</v>
      </c>
      <c r="B59" t="s">
        <v>177</v>
      </c>
      <c r="C59" t="s">
        <v>178</v>
      </c>
      <c r="D59">
        <v>1</v>
      </c>
      <c r="E59">
        <v>30</v>
      </c>
    </row>
    <row r="60" spans="1:5">
      <c r="A60">
        <v>108</v>
      </c>
      <c r="B60" t="s">
        <v>179</v>
      </c>
      <c r="C60" t="s">
        <v>180</v>
      </c>
      <c r="D60">
        <v>1</v>
      </c>
      <c r="E60">
        <v>30</v>
      </c>
    </row>
    <row r="61" spans="1:5">
      <c r="A61">
        <v>112</v>
      </c>
      <c r="B61" t="s">
        <v>181</v>
      </c>
      <c r="C61" t="s">
        <v>182</v>
      </c>
      <c r="D61">
        <v>2</v>
      </c>
      <c r="E61">
        <v>30</v>
      </c>
    </row>
    <row r="62" spans="1:5">
      <c r="A62">
        <v>113</v>
      </c>
      <c r="B62" t="s">
        <v>183</v>
      </c>
      <c r="C62" t="s">
        <v>184</v>
      </c>
      <c r="D62">
        <v>2</v>
      </c>
      <c r="E62">
        <v>29</v>
      </c>
    </row>
    <row r="63" spans="1:5">
      <c r="A63">
        <v>114</v>
      </c>
      <c r="B63" t="s">
        <v>185</v>
      </c>
      <c r="C63" t="s">
        <v>186</v>
      </c>
      <c r="D63">
        <v>2</v>
      </c>
      <c r="E63">
        <v>33</v>
      </c>
    </row>
    <row r="64" spans="1:5">
      <c r="A64">
        <v>115</v>
      </c>
      <c r="B64" t="s">
        <v>187</v>
      </c>
      <c r="C64" t="s">
        <v>188</v>
      </c>
      <c r="D64">
        <v>1</v>
      </c>
      <c r="E64">
        <v>30</v>
      </c>
    </row>
    <row r="65" spans="1:5">
      <c r="A65">
        <v>116</v>
      </c>
      <c r="B65" t="s">
        <v>189</v>
      </c>
      <c r="C65" t="s">
        <v>190</v>
      </c>
      <c r="D65">
        <v>1</v>
      </c>
      <c r="E65">
        <v>27</v>
      </c>
    </row>
    <row r="66" spans="1:5">
      <c r="A66">
        <v>119</v>
      </c>
      <c r="B66" t="s">
        <v>191</v>
      </c>
      <c r="C66" t="s">
        <v>192</v>
      </c>
      <c r="D66">
        <v>1</v>
      </c>
      <c r="E66">
        <v>34</v>
      </c>
    </row>
    <row r="67" spans="1:5">
      <c r="A67">
        <v>120</v>
      </c>
      <c r="B67" t="s">
        <v>193</v>
      </c>
      <c r="C67" t="s">
        <v>194</v>
      </c>
      <c r="D67">
        <v>2</v>
      </c>
      <c r="E67">
        <v>32</v>
      </c>
    </row>
    <row r="68" spans="1:5">
      <c r="A68">
        <v>122</v>
      </c>
      <c r="B68" t="s">
        <v>195</v>
      </c>
      <c r="C68" t="s">
        <v>196</v>
      </c>
      <c r="D68">
        <v>1</v>
      </c>
      <c r="E68">
        <v>32</v>
      </c>
    </row>
    <row r="69" spans="1:5">
      <c r="A69">
        <v>125</v>
      </c>
      <c r="B69" t="s">
        <v>197</v>
      </c>
      <c r="C69" t="s">
        <v>198</v>
      </c>
      <c r="D69">
        <v>1</v>
      </c>
      <c r="E69">
        <v>32</v>
      </c>
    </row>
    <row r="70" spans="1:5">
      <c r="A70">
        <v>126</v>
      </c>
      <c r="B70" t="s">
        <v>199</v>
      </c>
      <c r="C70" t="s">
        <v>200</v>
      </c>
      <c r="D70">
        <v>1</v>
      </c>
      <c r="E70">
        <v>28</v>
      </c>
    </row>
    <row r="71" spans="1:5">
      <c r="A71">
        <v>128</v>
      </c>
      <c r="B71" t="s">
        <v>201</v>
      </c>
      <c r="C71" t="s">
        <v>202</v>
      </c>
      <c r="D71">
        <v>1</v>
      </c>
      <c r="E71">
        <v>32</v>
      </c>
    </row>
    <row r="72" spans="1:5">
      <c r="A72">
        <v>129</v>
      </c>
      <c r="B72" t="s">
        <v>203</v>
      </c>
      <c r="C72" t="s">
        <v>204</v>
      </c>
      <c r="D72">
        <v>1</v>
      </c>
      <c r="E72">
        <v>34</v>
      </c>
    </row>
    <row r="73" spans="1:5">
      <c r="A73">
        <v>131</v>
      </c>
      <c r="B73" t="s">
        <v>205</v>
      </c>
      <c r="C73" t="s">
        <v>206</v>
      </c>
      <c r="D73">
        <v>2</v>
      </c>
      <c r="E73">
        <v>30</v>
      </c>
    </row>
    <row r="74" spans="1:5">
      <c r="A74">
        <v>132</v>
      </c>
      <c r="B74" t="s">
        <v>207</v>
      </c>
      <c r="C74" t="s">
        <v>208</v>
      </c>
      <c r="D74">
        <v>2</v>
      </c>
      <c r="E74">
        <v>28</v>
      </c>
    </row>
    <row r="75" spans="1:5">
      <c r="A75">
        <v>133</v>
      </c>
      <c r="B75" t="s">
        <v>209</v>
      </c>
      <c r="C75" t="s">
        <v>210</v>
      </c>
      <c r="D75">
        <v>1</v>
      </c>
      <c r="E75">
        <v>27</v>
      </c>
    </row>
    <row r="76" spans="1:5">
      <c r="A76">
        <v>135</v>
      </c>
      <c r="B76" t="s">
        <v>211</v>
      </c>
      <c r="C76" t="s">
        <v>212</v>
      </c>
      <c r="D76">
        <v>2</v>
      </c>
      <c r="E76">
        <v>30</v>
      </c>
    </row>
    <row r="77" spans="1:5">
      <c r="A77">
        <v>137</v>
      </c>
      <c r="B77" t="s">
        <v>213</v>
      </c>
      <c r="C77" t="s">
        <v>214</v>
      </c>
      <c r="D77">
        <v>2</v>
      </c>
      <c r="E77">
        <v>39</v>
      </c>
    </row>
    <row r="78" spans="1:5">
      <c r="A78">
        <v>138</v>
      </c>
      <c r="B78" t="s">
        <v>215</v>
      </c>
      <c r="C78" t="s">
        <v>216</v>
      </c>
      <c r="D78">
        <v>1</v>
      </c>
      <c r="E78">
        <v>34</v>
      </c>
    </row>
    <row r="79" spans="1:5">
      <c r="A79">
        <v>139</v>
      </c>
      <c r="B79" t="s">
        <v>217</v>
      </c>
      <c r="C79" t="s">
        <v>218</v>
      </c>
      <c r="D79">
        <v>1</v>
      </c>
      <c r="E79">
        <v>27</v>
      </c>
    </row>
    <row r="80" spans="1:5">
      <c r="A80">
        <v>141</v>
      </c>
      <c r="B80" t="s">
        <v>219</v>
      </c>
      <c r="C80" t="s">
        <v>220</v>
      </c>
      <c r="D80">
        <v>1</v>
      </c>
      <c r="E80">
        <v>32</v>
      </c>
    </row>
    <row r="81" spans="1:5">
      <c r="A81">
        <v>144</v>
      </c>
      <c r="B81" t="s">
        <v>221</v>
      </c>
      <c r="C81" t="s">
        <v>222</v>
      </c>
      <c r="D81">
        <v>1</v>
      </c>
      <c r="E81">
        <v>42</v>
      </c>
    </row>
    <row r="82" spans="1:5">
      <c r="A82">
        <v>145</v>
      </c>
      <c r="B82" t="s">
        <v>223</v>
      </c>
      <c r="C82" t="s">
        <v>224</v>
      </c>
      <c r="D82">
        <v>1</v>
      </c>
      <c r="E82">
        <v>28</v>
      </c>
    </row>
    <row r="83" spans="1:5">
      <c r="A83">
        <v>146</v>
      </c>
      <c r="B83" t="s">
        <v>225</v>
      </c>
      <c r="C83" t="s">
        <v>226</v>
      </c>
      <c r="D83">
        <v>1</v>
      </c>
      <c r="E83">
        <v>29</v>
      </c>
    </row>
    <row r="84" spans="1:5">
      <c r="A84">
        <v>147</v>
      </c>
      <c r="B84" t="s">
        <v>227</v>
      </c>
      <c r="C84" t="s">
        <v>228</v>
      </c>
      <c r="D84">
        <v>2</v>
      </c>
      <c r="E84">
        <v>34</v>
      </c>
    </row>
    <row r="85" spans="1:5">
      <c r="A85">
        <v>148</v>
      </c>
      <c r="B85" t="s">
        <v>229</v>
      </c>
      <c r="C85" t="s">
        <v>230</v>
      </c>
      <c r="D85">
        <v>1</v>
      </c>
      <c r="E85">
        <v>46</v>
      </c>
    </row>
    <row r="86" spans="1:5">
      <c r="A86">
        <v>151</v>
      </c>
      <c r="B86" t="s">
        <v>231</v>
      </c>
      <c r="C86" t="s">
        <v>232</v>
      </c>
      <c r="D86">
        <v>2</v>
      </c>
      <c r="E86">
        <v>27</v>
      </c>
    </row>
    <row r="87" spans="1:5">
      <c r="A87">
        <v>154</v>
      </c>
      <c r="B87" t="s">
        <v>233</v>
      </c>
      <c r="C87" t="s">
        <v>234</v>
      </c>
      <c r="D87">
        <v>2</v>
      </c>
      <c r="E87">
        <v>30</v>
      </c>
    </row>
    <row r="88" spans="1:5">
      <c r="A88">
        <v>157</v>
      </c>
      <c r="B88" t="s">
        <v>235</v>
      </c>
      <c r="C88" t="s">
        <v>236</v>
      </c>
      <c r="D88">
        <v>2</v>
      </c>
      <c r="E88">
        <v>31</v>
      </c>
    </row>
    <row r="89" spans="1:5">
      <c r="A89">
        <v>158</v>
      </c>
      <c r="B89" t="s">
        <v>237</v>
      </c>
      <c r="C89" t="s">
        <v>238</v>
      </c>
      <c r="D89">
        <v>1</v>
      </c>
      <c r="E89">
        <v>32</v>
      </c>
    </row>
    <row r="90" spans="1:5">
      <c r="A90">
        <v>160</v>
      </c>
      <c r="B90" t="s">
        <v>239</v>
      </c>
      <c r="C90" t="s">
        <v>240</v>
      </c>
      <c r="D90">
        <v>2</v>
      </c>
      <c r="E90">
        <v>27</v>
      </c>
    </row>
    <row r="91" spans="1:5">
      <c r="A91">
        <v>161</v>
      </c>
      <c r="B91" t="s">
        <v>241</v>
      </c>
      <c r="C91" t="s">
        <v>242</v>
      </c>
      <c r="D91">
        <v>1</v>
      </c>
      <c r="E91">
        <v>30</v>
      </c>
    </row>
    <row r="92" spans="1:5">
      <c r="A92">
        <v>163</v>
      </c>
      <c r="B92" t="s">
        <v>243</v>
      </c>
      <c r="C92" t="s">
        <v>244</v>
      </c>
      <c r="D92">
        <v>1</v>
      </c>
      <c r="E92">
        <v>29</v>
      </c>
    </row>
    <row r="93" spans="1:5">
      <c r="A93">
        <v>166</v>
      </c>
      <c r="B93" t="s">
        <v>245</v>
      </c>
      <c r="C93" t="s">
        <v>246</v>
      </c>
      <c r="D93">
        <v>1</v>
      </c>
      <c r="E93">
        <v>28</v>
      </c>
    </row>
    <row r="94" spans="1:5">
      <c r="A94">
        <v>167</v>
      </c>
      <c r="B94" t="s">
        <v>247</v>
      </c>
      <c r="C94" t="s">
        <v>248</v>
      </c>
      <c r="D94">
        <v>2</v>
      </c>
      <c r="E94">
        <v>32</v>
      </c>
    </row>
    <row r="95" spans="1:5">
      <c r="A95">
        <v>168</v>
      </c>
      <c r="B95" t="s">
        <v>249</v>
      </c>
      <c r="C95" t="s">
        <v>250</v>
      </c>
      <c r="D95">
        <v>1</v>
      </c>
      <c r="E95">
        <v>34</v>
      </c>
    </row>
    <row r="96" spans="1:5">
      <c r="A96">
        <v>172</v>
      </c>
      <c r="B96" t="s">
        <v>251</v>
      </c>
      <c r="C96" t="s">
        <v>252</v>
      </c>
      <c r="D96">
        <v>1</v>
      </c>
      <c r="E96">
        <v>33</v>
      </c>
    </row>
    <row r="97" spans="1:5">
      <c r="A97">
        <v>173</v>
      </c>
      <c r="B97" t="s">
        <v>253</v>
      </c>
      <c r="C97" t="s">
        <v>254</v>
      </c>
      <c r="D97">
        <v>1</v>
      </c>
      <c r="E97">
        <v>29</v>
      </c>
    </row>
    <row r="98" spans="1:5">
      <c r="A98">
        <v>176</v>
      </c>
      <c r="B98" t="s">
        <v>255</v>
      </c>
      <c r="C98" t="s">
        <v>256</v>
      </c>
      <c r="D98">
        <v>1</v>
      </c>
      <c r="E98">
        <v>37</v>
      </c>
    </row>
    <row r="99" spans="1:5">
      <c r="A99">
        <v>178</v>
      </c>
      <c r="B99" t="s">
        <v>257</v>
      </c>
      <c r="C99" t="s">
        <v>258</v>
      </c>
      <c r="D99">
        <v>2</v>
      </c>
      <c r="E99">
        <v>39</v>
      </c>
    </row>
    <row r="100" spans="1:5">
      <c r="A100">
        <v>179</v>
      </c>
      <c r="B100" t="s">
        <v>259</v>
      </c>
      <c r="C100" t="s">
        <v>260</v>
      </c>
      <c r="D100">
        <v>1</v>
      </c>
      <c r="E100">
        <v>29</v>
      </c>
    </row>
    <row r="101" spans="1:5">
      <c r="A101">
        <v>181</v>
      </c>
      <c r="B101" t="s">
        <v>261</v>
      </c>
      <c r="C101" t="s">
        <v>262</v>
      </c>
      <c r="D101">
        <v>2</v>
      </c>
      <c r="E101">
        <v>34</v>
      </c>
    </row>
    <row r="102" spans="1:5">
      <c r="A102">
        <v>186</v>
      </c>
      <c r="B102" t="s">
        <v>263</v>
      </c>
      <c r="C102" t="s">
        <v>264</v>
      </c>
      <c r="D102">
        <v>2</v>
      </c>
      <c r="E102">
        <v>31</v>
      </c>
    </row>
    <row r="103" spans="1:5">
      <c r="A103">
        <v>187</v>
      </c>
      <c r="B103" t="s">
        <v>265</v>
      </c>
      <c r="C103" t="s">
        <v>266</v>
      </c>
      <c r="D103">
        <v>2</v>
      </c>
      <c r="E103">
        <v>28</v>
      </c>
    </row>
    <row r="104" spans="1:5">
      <c r="A104">
        <v>190</v>
      </c>
      <c r="B104" t="s">
        <v>267</v>
      </c>
      <c r="C104" t="s">
        <v>268</v>
      </c>
      <c r="D104">
        <v>2</v>
      </c>
      <c r="E104">
        <v>27</v>
      </c>
    </row>
    <row r="105" spans="1:5">
      <c r="A105">
        <v>196</v>
      </c>
      <c r="B105" t="s">
        <v>269</v>
      </c>
      <c r="C105" t="s">
        <v>270</v>
      </c>
      <c r="D105">
        <v>1</v>
      </c>
      <c r="E105">
        <v>35</v>
      </c>
    </row>
    <row r="106" spans="1:5">
      <c r="A106">
        <v>197</v>
      </c>
      <c r="B106" t="s">
        <v>271</v>
      </c>
      <c r="C106" t="s">
        <v>272</v>
      </c>
      <c r="D106">
        <v>2</v>
      </c>
      <c r="E106">
        <v>40</v>
      </c>
    </row>
    <row r="107" spans="1:5">
      <c r="A107">
        <v>198</v>
      </c>
      <c r="B107" t="s">
        <v>273</v>
      </c>
      <c r="C107" t="s">
        <v>274</v>
      </c>
      <c r="D107">
        <v>2</v>
      </c>
      <c r="E107">
        <v>37</v>
      </c>
    </row>
    <row r="108" spans="1:5">
      <c r="A108">
        <v>200</v>
      </c>
      <c r="B108" t="s">
        <v>275</v>
      </c>
      <c r="C108" t="s">
        <v>276</v>
      </c>
      <c r="D108">
        <v>2</v>
      </c>
      <c r="E108">
        <v>27</v>
      </c>
    </row>
    <row r="109" spans="1:5">
      <c r="A109">
        <v>204</v>
      </c>
      <c r="B109" t="s">
        <v>277</v>
      </c>
      <c r="C109" t="s">
        <v>278</v>
      </c>
      <c r="D109">
        <v>1</v>
      </c>
      <c r="E109">
        <v>35</v>
      </c>
    </row>
    <row r="110" spans="1:5">
      <c r="A110">
        <v>206</v>
      </c>
      <c r="B110" t="s">
        <v>279</v>
      </c>
      <c r="C110" t="s">
        <v>280</v>
      </c>
      <c r="D110">
        <v>1</v>
      </c>
      <c r="E110">
        <v>27</v>
      </c>
    </row>
    <row r="111" spans="1:5">
      <c r="A111">
        <v>207</v>
      </c>
      <c r="B111" t="s">
        <v>281</v>
      </c>
      <c r="C111" t="s">
        <v>282</v>
      </c>
      <c r="D111">
        <v>1</v>
      </c>
      <c r="E111">
        <v>34</v>
      </c>
    </row>
    <row r="112" spans="1:5">
      <c r="A112">
        <v>209</v>
      </c>
      <c r="B112" t="s">
        <v>283</v>
      </c>
      <c r="C112" t="s">
        <v>284</v>
      </c>
      <c r="D112">
        <v>2</v>
      </c>
      <c r="E112">
        <v>32</v>
      </c>
    </row>
    <row r="113" spans="1:5">
      <c r="A113">
        <v>210</v>
      </c>
      <c r="B113" t="s">
        <v>285</v>
      </c>
      <c r="C113" t="s">
        <v>286</v>
      </c>
      <c r="D113">
        <v>2</v>
      </c>
      <c r="E113">
        <v>31</v>
      </c>
    </row>
    <row r="114" spans="1:5">
      <c r="A114">
        <v>211</v>
      </c>
      <c r="B114" t="s">
        <v>287</v>
      </c>
      <c r="C114" t="s">
        <v>288</v>
      </c>
      <c r="D114">
        <v>1</v>
      </c>
      <c r="E114">
        <v>34</v>
      </c>
    </row>
    <row r="115" spans="1:5">
      <c r="A115">
        <v>213</v>
      </c>
      <c r="B115" t="s">
        <v>289</v>
      </c>
      <c r="C115" t="s">
        <v>290</v>
      </c>
      <c r="D115">
        <v>1</v>
      </c>
      <c r="E115">
        <v>28</v>
      </c>
    </row>
    <row r="116" spans="1:5">
      <c r="A116">
        <v>214</v>
      </c>
      <c r="B116" t="s">
        <v>291</v>
      </c>
      <c r="C116" t="s">
        <v>292</v>
      </c>
      <c r="D116">
        <v>1</v>
      </c>
      <c r="E116">
        <v>31</v>
      </c>
    </row>
    <row r="117" spans="1:5">
      <c r="A117">
        <v>220</v>
      </c>
      <c r="B117" t="s">
        <v>293</v>
      </c>
      <c r="C117" t="s">
        <v>294</v>
      </c>
      <c r="D117">
        <v>2</v>
      </c>
      <c r="E117">
        <v>27</v>
      </c>
    </row>
    <row r="118" spans="1:5">
      <c r="A118">
        <v>221</v>
      </c>
      <c r="B118" t="s">
        <v>295</v>
      </c>
      <c r="C118" t="s">
        <v>296</v>
      </c>
      <c r="D118">
        <v>1</v>
      </c>
      <c r="E118">
        <v>28</v>
      </c>
    </row>
    <row r="119" spans="1:5">
      <c r="A119">
        <v>228</v>
      </c>
      <c r="B119" t="s">
        <v>297</v>
      </c>
      <c r="C119" t="s">
        <v>298</v>
      </c>
      <c r="D119">
        <v>2</v>
      </c>
      <c r="E119">
        <v>27</v>
      </c>
    </row>
    <row r="120" spans="1:5">
      <c r="A120">
        <v>230</v>
      </c>
      <c r="B120" t="s">
        <v>299</v>
      </c>
      <c r="C120" t="s">
        <v>300</v>
      </c>
      <c r="D120">
        <v>2</v>
      </c>
      <c r="E120">
        <v>33</v>
      </c>
    </row>
    <row r="121" spans="1:5">
      <c r="A121">
        <v>236</v>
      </c>
      <c r="B121" t="s">
        <v>301</v>
      </c>
      <c r="C121" t="s">
        <v>302</v>
      </c>
      <c r="D121">
        <v>1</v>
      </c>
      <c r="E121">
        <v>42</v>
      </c>
    </row>
    <row r="122" spans="1:5">
      <c r="A122">
        <v>237</v>
      </c>
      <c r="B122" t="s">
        <v>303</v>
      </c>
      <c r="C122" t="s">
        <v>304</v>
      </c>
      <c r="D122">
        <v>1</v>
      </c>
      <c r="E122">
        <v>33</v>
      </c>
    </row>
    <row r="123" spans="1:5">
      <c r="A123">
        <v>239</v>
      </c>
      <c r="B123" t="s">
        <v>305</v>
      </c>
      <c r="C123" t="s">
        <v>306</v>
      </c>
      <c r="D123">
        <v>2</v>
      </c>
      <c r="E123">
        <v>34</v>
      </c>
    </row>
    <row r="124" spans="1:5">
      <c r="A124">
        <v>241</v>
      </c>
      <c r="B124" t="s">
        <v>307</v>
      </c>
      <c r="C124" t="s">
        <v>308</v>
      </c>
      <c r="D124">
        <v>2</v>
      </c>
      <c r="E124">
        <v>34</v>
      </c>
    </row>
    <row r="125" spans="1:5">
      <c r="A125">
        <v>242</v>
      </c>
      <c r="B125" t="s">
        <v>309</v>
      </c>
      <c r="C125" t="s">
        <v>310</v>
      </c>
      <c r="D125">
        <v>1</v>
      </c>
      <c r="E125">
        <v>32</v>
      </c>
    </row>
    <row r="126" spans="1:5">
      <c r="A126">
        <v>244</v>
      </c>
      <c r="B126" t="s">
        <v>311</v>
      </c>
      <c r="C126" t="s">
        <v>312</v>
      </c>
      <c r="D126">
        <v>2</v>
      </c>
      <c r="E126">
        <v>32</v>
      </c>
    </row>
    <row r="127" spans="1:5">
      <c r="A127">
        <v>245</v>
      </c>
      <c r="B127" t="s">
        <v>313</v>
      </c>
      <c r="C127" t="s">
        <v>314</v>
      </c>
      <c r="D127">
        <v>1</v>
      </c>
      <c r="E127">
        <v>32</v>
      </c>
    </row>
    <row r="128" spans="1:5">
      <c r="A128">
        <v>251</v>
      </c>
      <c r="B128" t="s">
        <v>315</v>
      </c>
      <c r="C128" t="s">
        <v>316</v>
      </c>
      <c r="D128">
        <v>2</v>
      </c>
      <c r="E128">
        <v>31</v>
      </c>
    </row>
    <row r="129" spans="1:5">
      <c r="A129">
        <v>253</v>
      </c>
      <c r="B129" t="s">
        <v>317</v>
      </c>
      <c r="C129" t="s">
        <v>318</v>
      </c>
      <c r="D129">
        <v>1</v>
      </c>
      <c r="E129">
        <v>29</v>
      </c>
    </row>
    <row r="130" spans="1:5">
      <c r="A130">
        <v>254</v>
      </c>
      <c r="B130" t="s">
        <v>319</v>
      </c>
      <c r="C130" t="s">
        <v>320</v>
      </c>
      <c r="D130">
        <v>2</v>
      </c>
      <c r="E130">
        <v>32</v>
      </c>
    </row>
    <row r="131" spans="1:5">
      <c r="A131">
        <v>256</v>
      </c>
      <c r="B131" t="s">
        <v>321</v>
      </c>
      <c r="C131" t="s">
        <v>322</v>
      </c>
      <c r="D131">
        <v>2</v>
      </c>
      <c r="E131">
        <v>30</v>
      </c>
    </row>
    <row r="132" spans="1:5">
      <c r="A132">
        <v>257</v>
      </c>
      <c r="B132" t="s">
        <v>323</v>
      </c>
      <c r="C132" t="s">
        <v>324</v>
      </c>
      <c r="D132">
        <v>2</v>
      </c>
      <c r="E132">
        <v>37</v>
      </c>
    </row>
    <row r="133" spans="1:5">
      <c r="A133">
        <v>259</v>
      </c>
      <c r="B133" t="s">
        <v>325</v>
      </c>
      <c r="C133" t="s">
        <v>326</v>
      </c>
      <c r="D133">
        <v>2</v>
      </c>
      <c r="E133">
        <v>32</v>
      </c>
    </row>
    <row r="134" spans="1:5">
      <c r="A134">
        <v>260</v>
      </c>
      <c r="B134" t="s">
        <v>327</v>
      </c>
      <c r="C134" t="s">
        <v>328</v>
      </c>
      <c r="D134">
        <v>1</v>
      </c>
      <c r="E134">
        <v>31</v>
      </c>
    </row>
    <row r="135" spans="1:5">
      <c r="A135">
        <v>262</v>
      </c>
      <c r="B135" t="s">
        <v>329</v>
      </c>
      <c r="C135" t="s">
        <v>330</v>
      </c>
      <c r="D135">
        <v>2</v>
      </c>
      <c r="E135">
        <v>28</v>
      </c>
    </row>
    <row r="136" spans="1:5">
      <c r="A136">
        <v>263</v>
      </c>
      <c r="B136" t="s">
        <v>331</v>
      </c>
      <c r="C136" t="s">
        <v>332</v>
      </c>
      <c r="D136">
        <v>1</v>
      </c>
      <c r="E136">
        <v>29</v>
      </c>
    </row>
    <row r="137" spans="1:5">
      <c r="A137">
        <v>265</v>
      </c>
      <c r="B137" t="s">
        <v>333</v>
      </c>
      <c r="C137" t="s">
        <v>317</v>
      </c>
      <c r="D137">
        <v>2</v>
      </c>
      <c r="E137">
        <v>29</v>
      </c>
    </row>
    <row r="138" spans="1:5">
      <c r="A138">
        <v>266</v>
      </c>
      <c r="B138" t="s">
        <v>334</v>
      </c>
      <c r="C138" t="s">
        <v>335</v>
      </c>
      <c r="D138">
        <v>2</v>
      </c>
      <c r="E138">
        <v>28</v>
      </c>
    </row>
    <row r="139" spans="1:5">
      <c r="A139">
        <v>267</v>
      </c>
      <c r="B139" t="s">
        <v>336</v>
      </c>
      <c r="C139" t="s">
        <v>337</v>
      </c>
      <c r="D139">
        <v>1</v>
      </c>
      <c r="E139">
        <v>36</v>
      </c>
    </row>
    <row r="140" spans="1:5">
      <c r="A140">
        <v>268</v>
      </c>
      <c r="B140" t="s">
        <v>338</v>
      </c>
      <c r="C140" t="s">
        <v>339</v>
      </c>
      <c r="D140">
        <v>1</v>
      </c>
      <c r="E140">
        <v>29</v>
      </c>
    </row>
    <row r="141" spans="1:5">
      <c r="A141">
        <v>269</v>
      </c>
      <c r="B141" t="s">
        <v>340</v>
      </c>
      <c r="C141" t="s">
        <v>341</v>
      </c>
      <c r="D141">
        <v>1</v>
      </c>
      <c r="E141">
        <v>30</v>
      </c>
    </row>
    <row r="142" spans="1:5">
      <c r="A142">
        <v>273</v>
      </c>
      <c r="B142" t="s">
        <v>342</v>
      </c>
      <c r="C142" t="s">
        <v>343</v>
      </c>
      <c r="D142">
        <v>2</v>
      </c>
      <c r="E142">
        <v>35</v>
      </c>
    </row>
    <row r="143" spans="1:5">
      <c r="A143">
        <v>274</v>
      </c>
      <c r="B143" t="s">
        <v>344</v>
      </c>
      <c r="C143" t="s">
        <v>345</v>
      </c>
      <c r="D143">
        <v>1</v>
      </c>
      <c r="E143">
        <v>35</v>
      </c>
    </row>
    <row r="144" spans="1:5">
      <c r="A144">
        <v>275</v>
      </c>
      <c r="B144" t="s">
        <v>346</v>
      </c>
      <c r="C144" t="s">
        <v>347</v>
      </c>
      <c r="D144">
        <v>2</v>
      </c>
      <c r="E144">
        <v>30</v>
      </c>
    </row>
    <row r="145" spans="1:5">
      <c r="A145">
        <v>276</v>
      </c>
      <c r="B145" t="s">
        <v>348</v>
      </c>
      <c r="C145" t="s">
        <v>349</v>
      </c>
      <c r="D145">
        <v>1</v>
      </c>
      <c r="E145">
        <v>28</v>
      </c>
    </row>
    <row r="146" spans="1:5">
      <c r="A146">
        <v>277</v>
      </c>
      <c r="B146" t="s">
        <v>350</v>
      </c>
      <c r="C146" t="s">
        <v>351</v>
      </c>
      <c r="D146">
        <v>2</v>
      </c>
      <c r="E146">
        <v>32</v>
      </c>
    </row>
    <row r="147" spans="1:5">
      <c r="A147">
        <v>279</v>
      </c>
      <c r="B147" t="s">
        <v>352</v>
      </c>
      <c r="C147" t="s">
        <v>353</v>
      </c>
      <c r="D147">
        <v>2</v>
      </c>
      <c r="E147">
        <v>31</v>
      </c>
    </row>
    <row r="148" spans="1:5">
      <c r="A148">
        <v>280</v>
      </c>
      <c r="B148" t="s">
        <v>354</v>
      </c>
      <c r="C148" t="s">
        <v>355</v>
      </c>
      <c r="D148">
        <v>2</v>
      </c>
      <c r="E148">
        <v>27</v>
      </c>
    </row>
    <row r="149" spans="1:5">
      <c r="A149">
        <v>282</v>
      </c>
      <c r="B149" t="s">
        <v>356</v>
      </c>
      <c r="C149" t="s">
        <v>357</v>
      </c>
      <c r="D149">
        <v>2</v>
      </c>
      <c r="E149">
        <v>27</v>
      </c>
    </row>
    <row r="150" spans="1:5">
      <c r="A150">
        <v>283</v>
      </c>
      <c r="B150" t="s">
        <v>358</v>
      </c>
      <c r="C150" t="s">
        <v>359</v>
      </c>
      <c r="D150">
        <v>1</v>
      </c>
      <c r="E150">
        <v>28</v>
      </c>
    </row>
    <row r="151" spans="1:5">
      <c r="A151">
        <v>284</v>
      </c>
      <c r="B151" t="s">
        <v>360</v>
      </c>
      <c r="C151" t="s">
        <v>361</v>
      </c>
      <c r="D151">
        <v>1</v>
      </c>
      <c r="E151">
        <v>28</v>
      </c>
    </row>
    <row r="152" spans="1:5">
      <c r="A152">
        <v>286</v>
      </c>
      <c r="B152" t="s">
        <v>362</v>
      </c>
      <c r="C152" t="s">
        <v>363</v>
      </c>
      <c r="D152">
        <v>1</v>
      </c>
      <c r="E152">
        <v>27</v>
      </c>
    </row>
    <row r="153" spans="1:5">
      <c r="A153">
        <v>287</v>
      </c>
      <c r="B153" t="s">
        <v>364</v>
      </c>
      <c r="C153" t="s">
        <v>365</v>
      </c>
      <c r="D153">
        <v>2</v>
      </c>
      <c r="E153">
        <v>29</v>
      </c>
    </row>
    <row r="154" spans="1:5">
      <c r="A154">
        <v>289</v>
      </c>
      <c r="B154" t="s">
        <v>366</v>
      </c>
      <c r="C154" t="s">
        <v>367</v>
      </c>
      <c r="D154">
        <v>1</v>
      </c>
      <c r="E154">
        <v>30</v>
      </c>
    </row>
    <row r="155" spans="1:5">
      <c r="A155">
        <v>290</v>
      </c>
      <c r="B155" t="s">
        <v>368</v>
      </c>
      <c r="C155" t="s">
        <v>369</v>
      </c>
      <c r="D155">
        <v>1</v>
      </c>
      <c r="E155">
        <v>28</v>
      </c>
    </row>
    <row r="156" spans="1:5">
      <c r="A156">
        <v>292</v>
      </c>
      <c r="B156" t="s">
        <v>370</v>
      </c>
      <c r="C156" t="s">
        <v>371</v>
      </c>
      <c r="D156">
        <v>2</v>
      </c>
      <c r="E156">
        <v>27</v>
      </c>
    </row>
    <row r="157" spans="1:5">
      <c r="A157">
        <v>293</v>
      </c>
      <c r="B157" t="s">
        <v>372</v>
      </c>
      <c r="C157" t="s">
        <v>373</v>
      </c>
      <c r="D157">
        <v>2</v>
      </c>
      <c r="E157">
        <v>31</v>
      </c>
    </row>
    <row r="158" spans="1:5">
      <c r="A158">
        <v>295</v>
      </c>
      <c r="B158" t="s">
        <v>374</v>
      </c>
      <c r="C158" t="s">
        <v>375</v>
      </c>
      <c r="D158">
        <v>1</v>
      </c>
      <c r="E158">
        <v>38</v>
      </c>
    </row>
    <row r="159" spans="1:5">
      <c r="A159">
        <v>296</v>
      </c>
      <c r="B159" t="s">
        <v>376</v>
      </c>
      <c r="C159" t="s">
        <v>377</v>
      </c>
      <c r="D159">
        <v>2</v>
      </c>
      <c r="E159">
        <v>30</v>
      </c>
    </row>
    <row r="160" spans="1:5">
      <c r="A160">
        <v>297</v>
      </c>
      <c r="B160" t="s">
        <v>378</v>
      </c>
      <c r="C160" t="s">
        <v>379</v>
      </c>
      <c r="D160">
        <v>1</v>
      </c>
      <c r="E160">
        <v>33</v>
      </c>
    </row>
    <row r="161" spans="1:5">
      <c r="A161">
        <v>299</v>
      </c>
      <c r="B161" t="s">
        <v>144</v>
      </c>
      <c r="C161" t="s">
        <v>380</v>
      </c>
      <c r="D161">
        <v>2</v>
      </c>
      <c r="E161">
        <v>30</v>
      </c>
    </row>
    <row r="162" spans="1:5">
      <c r="A162">
        <v>300</v>
      </c>
      <c r="B162" t="s">
        <v>381</v>
      </c>
      <c r="C162" t="s">
        <v>382</v>
      </c>
      <c r="D162">
        <v>1</v>
      </c>
      <c r="E162">
        <v>31</v>
      </c>
    </row>
    <row r="163" spans="1:5">
      <c r="A163">
        <v>302</v>
      </c>
      <c r="B163" t="s">
        <v>383</v>
      </c>
      <c r="C163" t="s">
        <v>384</v>
      </c>
      <c r="D163">
        <v>1</v>
      </c>
      <c r="E163">
        <v>29</v>
      </c>
    </row>
    <row r="164" spans="1:5">
      <c r="A164">
        <v>306</v>
      </c>
      <c r="B164" t="s">
        <v>385</v>
      </c>
      <c r="C164" t="s">
        <v>386</v>
      </c>
      <c r="D164">
        <v>1</v>
      </c>
      <c r="E164">
        <v>32</v>
      </c>
    </row>
    <row r="165" spans="1:5">
      <c r="A165">
        <v>307</v>
      </c>
      <c r="B165" t="s">
        <v>387</v>
      </c>
      <c r="C165" t="s">
        <v>299</v>
      </c>
      <c r="D165">
        <v>2</v>
      </c>
      <c r="E165">
        <v>30</v>
      </c>
    </row>
    <row r="166" spans="1:5">
      <c r="A166">
        <v>309</v>
      </c>
      <c r="B166" t="s">
        <v>388</v>
      </c>
      <c r="C166" t="s">
        <v>389</v>
      </c>
      <c r="D166">
        <v>1</v>
      </c>
      <c r="E166">
        <v>31</v>
      </c>
    </row>
    <row r="167" spans="1:5">
      <c r="A167">
        <v>314</v>
      </c>
      <c r="B167" t="s">
        <v>300</v>
      </c>
      <c r="C167" t="s">
        <v>390</v>
      </c>
      <c r="D167">
        <v>1</v>
      </c>
      <c r="E167">
        <v>33</v>
      </c>
    </row>
    <row r="168" spans="1:5">
      <c r="A168">
        <v>316</v>
      </c>
      <c r="B168" t="s">
        <v>391</v>
      </c>
      <c r="C168" t="s">
        <v>392</v>
      </c>
      <c r="D168">
        <v>1</v>
      </c>
      <c r="E168">
        <v>29</v>
      </c>
    </row>
    <row r="169" spans="1:5">
      <c r="A169">
        <v>317</v>
      </c>
      <c r="B169" t="s">
        <v>393</v>
      </c>
      <c r="C169" t="s">
        <v>394</v>
      </c>
      <c r="D169">
        <v>2</v>
      </c>
      <c r="E169">
        <v>28</v>
      </c>
    </row>
    <row r="170" spans="1:5">
      <c r="A170">
        <v>319</v>
      </c>
      <c r="B170" t="s">
        <v>395</v>
      </c>
      <c r="C170" t="s">
        <v>396</v>
      </c>
      <c r="D170">
        <v>2</v>
      </c>
      <c r="E170">
        <v>30</v>
      </c>
    </row>
    <row r="171" spans="1:5">
      <c r="A171">
        <v>322</v>
      </c>
      <c r="B171" t="s">
        <v>397</v>
      </c>
      <c r="C171" t="s">
        <v>398</v>
      </c>
      <c r="D171">
        <v>1</v>
      </c>
      <c r="E171">
        <v>28</v>
      </c>
    </row>
    <row r="172" spans="1:5">
      <c r="A172">
        <v>323</v>
      </c>
      <c r="B172" t="s">
        <v>399</v>
      </c>
      <c r="C172" t="s">
        <v>400</v>
      </c>
      <c r="D172">
        <v>2</v>
      </c>
      <c r="E172">
        <v>31</v>
      </c>
    </row>
    <row r="173" spans="1:5">
      <c r="A173">
        <v>329</v>
      </c>
      <c r="B173" t="s">
        <v>401</v>
      </c>
      <c r="C173" t="s">
        <v>402</v>
      </c>
      <c r="D173">
        <v>2</v>
      </c>
      <c r="E173">
        <v>32</v>
      </c>
    </row>
    <row r="174" spans="1:5">
      <c r="A174">
        <v>331</v>
      </c>
      <c r="B174" t="s">
        <v>403</v>
      </c>
      <c r="C174" t="s">
        <v>404</v>
      </c>
      <c r="D174">
        <v>1</v>
      </c>
      <c r="E174">
        <v>27</v>
      </c>
    </row>
    <row r="175" spans="1:5">
      <c r="A175">
        <v>332</v>
      </c>
      <c r="B175" t="s">
        <v>405</v>
      </c>
      <c r="C175" t="s">
        <v>406</v>
      </c>
      <c r="D175">
        <v>1</v>
      </c>
      <c r="E175">
        <v>28</v>
      </c>
    </row>
    <row r="176" spans="1:5">
      <c r="A176">
        <v>333</v>
      </c>
      <c r="B176" t="s">
        <v>407</v>
      </c>
      <c r="C176" t="s">
        <v>408</v>
      </c>
      <c r="D176">
        <v>2</v>
      </c>
      <c r="E176">
        <v>27</v>
      </c>
    </row>
    <row r="177" spans="1:5">
      <c r="A177">
        <v>334</v>
      </c>
      <c r="B177" t="s">
        <v>409</v>
      </c>
      <c r="C177" t="s">
        <v>410</v>
      </c>
      <c r="D177">
        <v>2</v>
      </c>
      <c r="E177">
        <v>30</v>
      </c>
    </row>
    <row r="178" spans="1:5">
      <c r="A178">
        <v>336</v>
      </c>
      <c r="B178" t="s">
        <v>411</v>
      </c>
      <c r="C178" t="s">
        <v>412</v>
      </c>
      <c r="D178">
        <v>1</v>
      </c>
      <c r="E178">
        <v>30</v>
      </c>
    </row>
    <row r="179" spans="1:5">
      <c r="A179">
        <v>337</v>
      </c>
      <c r="B179" t="s">
        <v>413</v>
      </c>
      <c r="C179" t="s">
        <v>414</v>
      </c>
      <c r="D179">
        <v>1</v>
      </c>
      <c r="E179">
        <v>29</v>
      </c>
    </row>
    <row r="180" spans="1:5">
      <c r="A180">
        <v>338</v>
      </c>
      <c r="B180" t="s">
        <v>415</v>
      </c>
      <c r="C180" t="s">
        <v>416</v>
      </c>
      <c r="D180">
        <v>1</v>
      </c>
      <c r="E180">
        <v>28</v>
      </c>
    </row>
    <row r="181" spans="1:5">
      <c r="A181">
        <v>339</v>
      </c>
      <c r="B181" t="s">
        <v>417</v>
      </c>
      <c r="C181" t="s">
        <v>418</v>
      </c>
      <c r="D181">
        <v>2</v>
      </c>
      <c r="E181">
        <v>30</v>
      </c>
    </row>
    <row r="182" spans="1:5">
      <c r="A182">
        <v>340</v>
      </c>
      <c r="B182" t="s">
        <v>419</v>
      </c>
      <c r="C182" t="s">
        <v>420</v>
      </c>
      <c r="D182">
        <v>1</v>
      </c>
      <c r="E182">
        <v>31</v>
      </c>
    </row>
    <row r="183" spans="1:5">
      <c r="A183">
        <v>342</v>
      </c>
      <c r="B183" t="s">
        <v>421</v>
      </c>
      <c r="C183" t="s">
        <v>422</v>
      </c>
      <c r="D183">
        <v>1</v>
      </c>
      <c r="E183">
        <v>32</v>
      </c>
    </row>
    <row r="184" spans="1:5">
      <c r="A184">
        <v>346</v>
      </c>
      <c r="B184" t="s">
        <v>423</v>
      </c>
      <c r="C184" t="s">
        <v>424</v>
      </c>
      <c r="D184">
        <v>1</v>
      </c>
      <c r="E184">
        <v>32</v>
      </c>
    </row>
    <row r="185" spans="1:5">
      <c r="A185">
        <v>347</v>
      </c>
      <c r="B185" t="s">
        <v>425</v>
      </c>
      <c r="C185" t="s">
        <v>426</v>
      </c>
      <c r="D185">
        <v>2</v>
      </c>
      <c r="E185">
        <v>30</v>
      </c>
    </row>
    <row r="186" spans="1:5">
      <c r="A186">
        <v>348</v>
      </c>
      <c r="B186" t="s">
        <v>427</v>
      </c>
      <c r="C186" t="s">
        <v>428</v>
      </c>
      <c r="D186">
        <v>2</v>
      </c>
      <c r="E186">
        <v>36</v>
      </c>
    </row>
    <row r="187" spans="1:5">
      <c r="A187">
        <v>349</v>
      </c>
      <c r="B187" t="s">
        <v>429</v>
      </c>
      <c r="C187" t="s">
        <v>430</v>
      </c>
      <c r="D187">
        <v>2</v>
      </c>
      <c r="E187">
        <v>29</v>
      </c>
    </row>
    <row r="188" spans="1:5">
      <c r="A188">
        <v>354</v>
      </c>
      <c r="B188" t="s">
        <v>431</v>
      </c>
      <c r="C188" t="s">
        <v>432</v>
      </c>
      <c r="D188">
        <v>2</v>
      </c>
      <c r="E188">
        <v>36</v>
      </c>
    </row>
    <row r="189" spans="1:5">
      <c r="A189">
        <v>356</v>
      </c>
      <c r="B189" t="s">
        <v>433</v>
      </c>
      <c r="C189" t="s">
        <v>434</v>
      </c>
      <c r="D189">
        <v>2</v>
      </c>
      <c r="E189">
        <v>30</v>
      </c>
    </row>
    <row r="190" spans="1:5">
      <c r="A190">
        <v>360</v>
      </c>
      <c r="B190" t="s">
        <v>435</v>
      </c>
      <c r="C190" t="s">
        <v>436</v>
      </c>
      <c r="D190">
        <v>2</v>
      </c>
      <c r="E190">
        <v>34</v>
      </c>
    </row>
    <row r="191" spans="1:5">
      <c r="A191">
        <v>361</v>
      </c>
      <c r="B191" t="s">
        <v>437</v>
      </c>
      <c r="C191" t="s">
        <v>438</v>
      </c>
      <c r="D191">
        <v>2</v>
      </c>
      <c r="E191">
        <v>31</v>
      </c>
    </row>
    <row r="192" spans="1:5">
      <c r="A192">
        <v>362</v>
      </c>
      <c r="B192" t="s">
        <v>439</v>
      </c>
      <c r="C192" t="s">
        <v>440</v>
      </c>
      <c r="D192">
        <v>1</v>
      </c>
      <c r="E192">
        <v>32</v>
      </c>
    </row>
    <row r="193" spans="1:5">
      <c r="A193">
        <v>363</v>
      </c>
      <c r="B193" t="s">
        <v>441</v>
      </c>
      <c r="C193" t="s">
        <v>442</v>
      </c>
      <c r="D193">
        <v>2</v>
      </c>
      <c r="E193">
        <v>29</v>
      </c>
    </row>
    <row r="194" spans="1:5">
      <c r="A194">
        <v>366</v>
      </c>
      <c r="B194" t="s">
        <v>443</v>
      </c>
      <c r="C194" t="s">
        <v>444</v>
      </c>
      <c r="D194">
        <v>1</v>
      </c>
      <c r="E194">
        <v>37</v>
      </c>
    </row>
    <row r="195" spans="1:5">
      <c r="A195">
        <v>368</v>
      </c>
      <c r="B195" t="s">
        <v>445</v>
      </c>
      <c r="C195" t="s">
        <v>446</v>
      </c>
      <c r="D195">
        <v>1</v>
      </c>
      <c r="E195">
        <v>35</v>
      </c>
    </row>
    <row r="196" spans="1:5">
      <c r="A196">
        <v>371</v>
      </c>
      <c r="B196" t="s">
        <v>447</v>
      </c>
      <c r="C196" t="s">
        <v>448</v>
      </c>
      <c r="D196">
        <v>1</v>
      </c>
      <c r="E196">
        <v>35</v>
      </c>
    </row>
    <row r="197" spans="1:5">
      <c r="A197">
        <v>372</v>
      </c>
      <c r="B197" t="s">
        <v>449</v>
      </c>
      <c r="C197" t="s">
        <v>450</v>
      </c>
      <c r="D197">
        <v>2</v>
      </c>
      <c r="E197">
        <v>34</v>
      </c>
    </row>
    <row r="198" spans="1:5">
      <c r="A198">
        <v>373</v>
      </c>
      <c r="B198" t="s">
        <v>451</v>
      </c>
      <c r="C198" t="s">
        <v>452</v>
      </c>
      <c r="D198">
        <v>1</v>
      </c>
      <c r="E198">
        <v>35</v>
      </c>
    </row>
    <row r="199" spans="1:5">
      <c r="A199">
        <v>374</v>
      </c>
      <c r="B199" t="s">
        <v>453</v>
      </c>
      <c r="C199" t="s">
        <v>454</v>
      </c>
      <c r="D199">
        <v>2</v>
      </c>
      <c r="E199">
        <v>28</v>
      </c>
    </row>
    <row r="200" spans="1:5">
      <c r="A200">
        <v>376</v>
      </c>
      <c r="B200" t="s">
        <v>455</v>
      </c>
      <c r="C200" t="s">
        <v>456</v>
      </c>
      <c r="D200">
        <v>1</v>
      </c>
      <c r="E200">
        <v>28</v>
      </c>
    </row>
    <row r="201" spans="1:5">
      <c r="A201">
        <v>380</v>
      </c>
      <c r="B201" t="s">
        <v>457</v>
      </c>
      <c r="C201" t="s">
        <v>458</v>
      </c>
      <c r="D201">
        <v>1</v>
      </c>
      <c r="E201">
        <v>36</v>
      </c>
    </row>
    <row r="202" spans="1:5">
      <c r="A202">
        <v>381</v>
      </c>
      <c r="B202" t="s">
        <v>459</v>
      </c>
      <c r="C202" t="s">
        <v>460</v>
      </c>
      <c r="D202">
        <v>2</v>
      </c>
      <c r="E202">
        <v>35</v>
      </c>
    </row>
    <row r="203" spans="1:5">
      <c r="A203">
        <v>383</v>
      </c>
      <c r="B203" t="s">
        <v>82</v>
      </c>
      <c r="C203" t="s">
        <v>461</v>
      </c>
      <c r="D203">
        <v>1</v>
      </c>
      <c r="E203">
        <v>27</v>
      </c>
    </row>
    <row r="204" spans="1:5">
      <c r="A204">
        <v>386</v>
      </c>
      <c r="B204" t="s">
        <v>462</v>
      </c>
      <c r="C204" t="s">
        <v>463</v>
      </c>
      <c r="D204">
        <v>1</v>
      </c>
      <c r="E204">
        <v>29</v>
      </c>
    </row>
    <row r="205" spans="1:5">
      <c r="A205">
        <v>388</v>
      </c>
      <c r="B205" t="s">
        <v>464</v>
      </c>
      <c r="C205" t="s">
        <v>465</v>
      </c>
      <c r="D205">
        <v>2</v>
      </c>
      <c r="E205">
        <v>30</v>
      </c>
    </row>
    <row r="206" spans="1:5">
      <c r="A206">
        <v>390</v>
      </c>
      <c r="B206" t="s">
        <v>466</v>
      </c>
      <c r="C206" t="s">
        <v>467</v>
      </c>
      <c r="D206">
        <v>1</v>
      </c>
      <c r="E206">
        <v>33</v>
      </c>
    </row>
    <row r="207" spans="1:5">
      <c r="A207">
        <v>391</v>
      </c>
      <c r="B207" t="s">
        <v>468</v>
      </c>
      <c r="C207" t="s">
        <v>469</v>
      </c>
      <c r="D207">
        <v>1</v>
      </c>
      <c r="E207">
        <v>30</v>
      </c>
    </row>
    <row r="208" spans="1:5">
      <c r="A208">
        <v>393</v>
      </c>
      <c r="B208" t="s">
        <v>470</v>
      </c>
      <c r="C208" t="s">
        <v>471</v>
      </c>
      <c r="D208">
        <v>1</v>
      </c>
      <c r="E208">
        <v>31</v>
      </c>
    </row>
    <row r="209" spans="1:5">
      <c r="A209">
        <v>396</v>
      </c>
      <c r="B209" t="s">
        <v>472</v>
      </c>
      <c r="C209" t="s">
        <v>473</v>
      </c>
      <c r="D209">
        <v>1</v>
      </c>
      <c r="E209">
        <v>27</v>
      </c>
    </row>
    <row r="210" spans="1:5">
      <c r="A210">
        <v>397</v>
      </c>
      <c r="B210" t="s">
        <v>474</v>
      </c>
      <c r="C210" t="s">
        <v>475</v>
      </c>
      <c r="D210">
        <v>1</v>
      </c>
      <c r="E210">
        <v>29</v>
      </c>
    </row>
    <row r="211" spans="1:5">
      <c r="A211">
        <v>400</v>
      </c>
      <c r="B211" t="s">
        <v>476</v>
      </c>
      <c r="C211" t="s">
        <v>477</v>
      </c>
      <c r="D211">
        <v>2</v>
      </c>
      <c r="E211">
        <v>28</v>
      </c>
    </row>
    <row r="212" spans="1:5">
      <c r="A212">
        <v>403</v>
      </c>
      <c r="B212" t="s">
        <v>478</v>
      </c>
      <c r="C212" t="s">
        <v>479</v>
      </c>
      <c r="D212">
        <v>1</v>
      </c>
      <c r="E212">
        <v>35</v>
      </c>
    </row>
    <row r="213" spans="1:5">
      <c r="A213">
        <v>404</v>
      </c>
      <c r="B213" t="s">
        <v>298</v>
      </c>
      <c r="C213" t="s">
        <v>480</v>
      </c>
      <c r="D213">
        <v>2</v>
      </c>
      <c r="E213">
        <v>30</v>
      </c>
    </row>
    <row r="214" spans="1:5">
      <c r="A214">
        <v>405</v>
      </c>
      <c r="B214" t="s">
        <v>481</v>
      </c>
      <c r="C214" t="s">
        <v>482</v>
      </c>
      <c r="D214">
        <v>1</v>
      </c>
      <c r="E214">
        <v>32</v>
      </c>
    </row>
    <row r="215" spans="1:5">
      <c r="A215">
        <v>406</v>
      </c>
      <c r="B215" t="s">
        <v>483</v>
      </c>
      <c r="C215" t="s">
        <v>484</v>
      </c>
      <c r="D215">
        <v>1</v>
      </c>
      <c r="E215">
        <v>32</v>
      </c>
    </row>
    <row r="216" spans="1:5">
      <c r="A216">
        <v>407</v>
      </c>
      <c r="B216" t="s">
        <v>485</v>
      </c>
      <c r="C216" t="s">
        <v>486</v>
      </c>
      <c r="D216">
        <v>1</v>
      </c>
      <c r="E216">
        <v>27</v>
      </c>
    </row>
    <row r="217" spans="1:5">
      <c r="A217">
        <v>408</v>
      </c>
      <c r="B217" t="s">
        <v>487</v>
      </c>
      <c r="C217" t="s">
        <v>488</v>
      </c>
      <c r="D217">
        <v>1</v>
      </c>
      <c r="E217">
        <v>30</v>
      </c>
    </row>
    <row r="218" spans="1:5">
      <c r="A218">
        <v>410</v>
      </c>
      <c r="B218" t="s">
        <v>489</v>
      </c>
      <c r="C218" t="s">
        <v>490</v>
      </c>
      <c r="D218">
        <v>2</v>
      </c>
      <c r="E218">
        <v>38</v>
      </c>
    </row>
    <row r="219" spans="1:5">
      <c r="A219">
        <v>416</v>
      </c>
      <c r="B219" t="s">
        <v>491</v>
      </c>
      <c r="C219" t="s">
        <v>492</v>
      </c>
      <c r="D219">
        <v>2</v>
      </c>
      <c r="E219">
        <v>31</v>
      </c>
    </row>
    <row r="220" spans="1:5">
      <c r="A220">
        <v>418</v>
      </c>
      <c r="B220" t="s">
        <v>493</v>
      </c>
      <c r="C220" t="s">
        <v>494</v>
      </c>
      <c r="D220">
        <v>2</v>
      </c>
      <c r="E220">
        <v>30</v>
      </c>
    </row>
    <row r="221" spans="1:5">
      <c r="A221">
        <v>421</v>
      </c>
      <c r="B221" t="s">
        <v>495</v>
      </c>
      <c r="C221" t="s">
        <v>496</v>
      </c>
      <c r="D221">
        <v>1</v>
      </c>
      <c r="E221">
        <v>27</v>
      </c>
    </row>
    <row r="222" spans="1:5">
      <c r="A222">
        <v>424</v>
      </c>
      <c r="B222" t="s">
        <v>497</v>
      </c>
      <c r="C222" t="s">
        <v>498</v>
      </c>
      <c r="D222">
        <v>2</v>
      </c>
      <c r="E222">
        <v>30</v>
      </c>
    </row>
    <row r="223" spans="1:5">
      <c r="A223">
        <v>426</v>
      </c>
      <c r="B223" t="s">
        <v>262</v>
      </c>
      <c r="C223" t="s">
        <v>499</v>
      </c>
      <c r="D223">
        <v>1</v>
      </c>
      <c r="E223">
        <v>27</v>
      </c>
    </row>
    <row r="224" spans="1:5">
      <c r="A224">
        <v>434</v>
      </c>
      <c r="B224" t="s">
        <v>500</v>
      </c>
      <c r="C224" t="s">
        <v>501</v>
      </c>
      <c r="D224">
        <v>1</v>
      </c>
      <c r="E224">
        <v>27</v>
      </c>
    </row>
    <row r="225" spans="1:5">
      <c r="A225">
        <v>436</v>
      </c>
      <c r="B225" t="s">
        <v>502</v>
      </c>
      <c r="C225" t="s">
        <v>503</v>
      </c>
      <c r="D225">
        <v>1</v>
      </c>
      <c r="E225">
        <v>30</v>
      </c>
    </row>
    <row r="226" spans="1:5">
      <c r="A226">
        <v>438</v>
      </c>
      <c r="B226" t="s">
        <v>504</v>
      </c>
      <c r="C226" t="s">
        <v>505</v>
      </c>
      <c r="D226">
        <v>1</v>
      </c>
      <c r="E226">
        <v>33</v>
      </c>
    </row>
    <row r="227" spans="1:5">
      <c r="A227">
        <v>439</v>
      </c>
      <c r="B227" t="s">
        <v>172</v>
      </c>
      <c r="C227" t="s">
        <v>506</v>
      </c>
      <c r="D227">
        <v>2</v>
      </c>
      <c r="E227">
        <v>36</v>
      </c>
    </row>
    <row r="228" spans="1:5">
      <c r="A228">
        <v>441</v>
      </c>
      <c r="B228" t="s">
        <v>507</v>
      </c>
      <c r="C228" t="s">
        <v>508</v>
      </c>
      <c r="D228">
        <v>1</v>
      </c>
      <c r="E228">
        <v>28</v>
      </c>
    </row>
    <row r="229" spans="1:5">
      <c r="A229">
        <v>442</v>
      </c>
      <c r="B229" t="s">
        <v>509</v>
      </c>
      <c r="C229" t="s">
        <v>510</v>
      </c>
      <c r="D229">
        <v>1</v>
      </c>
      <c r="E229">
        <v>32</v>
      </c>
    </row>
    <row r="230" spans="1:5">
      <c r="A230">
        <v>444</v>
      </c>
      <c r="B230" t="s">
        <v>511</v>
      </c>
      <c r="C230" t="s">
        <v>512</v>
      </c>
      <c r="D230">
        <v>2</v>
      </c>
      <c r="E230">
        <v>30</v>
      </c>
    </row>
    <row r="231" spans="1:5">
      <c r="A231">
        <v>446</v>
      </c>
      <c r="B231" t="s">
        <v>513</v>
      </c>
      <c r="C231" t="s">
        <v>514</v>
      </c>
      <c r="D231">
        <v>2</v>
      </c>
      <c r="E231">
        <v>31</v>
      </c>
    </row>
    <row r="232" spans="1:5">
      <c r="A232">
        <v>447</v>
      </c>
      <c r="B232" t="s">
        <v>515</v>
      </c>
      <c r="C232" t="s">
        <v>516</v>
      </c>
      <c r="D232">
        <v>1</v>
      </c>
      <c r="E232">
        <v>29</v>
      </c>
    </row>
    <row r="233" spans="1:5">
      <c r="A233">
        <v>448</v>
      </c>
      <c r="B233" t="s">
        <v>517</v>
      </c>
      <c r="C233" t="s">
        <v>518</v>
      </c>
      <c r="D233">
        <v>1</v>
      </c>
      <c r="E233">
        <v>29</v>
      </c>
    </row>
    <row r="234" spans="1:5">
      <c r="A234">
        <v>451</v>
      </c>
      <c r="B234" t="s">
        <v>519</v>
      </c>
      <c r="C234" t="s">
        <v>520</v>
      </c>
      <c r="D234">
        <v>1</v>
      </c>
      <c r="E234">
        <v>33</v>
      </c>
    </row>
    <row r="235" spans="1:5">
      <c r="A235">
        <v>452</v>
      </c>
      <c r="B235" t="s">
        <v>521</v>
      </c>
      <c r="C235" t="s">
        <v>522</v>
      </c>
      <c r="D235">
        <v>1</v>
      </c>
      <c r="E235">
        <v>32</v>
      </c>
    </row>
    <row r="236" spans="1:5">
      <c r="A236">
        <v>454</v>
      </c>
      <c r="B236" t="s">
        <v>523</v>
      </c>
      <c r="C236" t="s">
        <v>524</v>
      </c>
      <c r="D236">
        <v>2</v>
      </c>
      <c r="E236">
        <v>33</v>
      </c>
    </row>
    <row r="237" spans="1:5">
      <c r="A237">
        <v>457</v>
      </c>
      <c r="B237" t="s">
        <v>525</v>
      </c>
      <c r="C237" t="s">
        <v>526</v>
      </c>
      <c r="D237">
        <v>2</v>
      </c>
      <c r="E237">
        <v>28</v>
      </c>
    </row>
    <row r="238" spans="1:5">
      <c r="A238">
        <v>459</v>
      </c>
      <c r="B238" t="s">
        <v>527</v>
      </c>
      <c r="C238" t="s">
        <v>528</v>
      </c>
      <c r="D238">
        <v>1</v>
      </c>
      <c r="E238">
        <v>38</v>
      </c>
    </row>
    <row r="239" spans="1:5">
      <c r="A239">
        <v>461</v>
      </c>
      <c r="B239" t="s">
        <v>529</v>
      </c>
      <c r="C239" t="s">
        <v>530</v>
      </c>
      <c r="D239">
        <v>1</v>
      </c>
      <c r="E239">
        <v>28</v>
      </c>
    </row>
    <row r="240" spans="1:5">
      <c r="A240">
        <v>462</v>
      </c>
      <c r="B240" t="s">
        <v>216</v>
      </c>
      <c r="C240" t="s">
        <v>531</v>
      </c>
      <c r="D240">
        <v>2</v>
      </c>
      <c r="E240">
        <v>33</v>
      </c>
    </row>
    <row r="241" spans="1:5">
      <c r="A241">
        <v>467</v>
      </c>
      <c r="B241" t="s">
        <v>532</v>
      </c>
      <c r="C241" t="s">
        <v>533</v>
      </c>
      <c r="D241">
        <v>2</v>
      </c>
      <c r="E241">
        <v>29</v>
      </c>
    </row>
    <row r="242" spans="1:5">
      <c r="A242">
        <v>468</v>
      </c>
      <c r="B242" t="s">
        <v>534</v>
      </c>
      <c r="C242" t="s">
        <v>535</v>
      </c>
      <c r="D242">
        <v>1</v>
      </c>
      <c r="E242">
        <v>39</v>
      </c>
    </row>
    <row r="243" spans="1:5">
      <c r="A243">
        <v>469</v>
      </c>
      <c r="B243" t="s">
        <v>536</v>
      </c>
      <c r="C243" t="s">
        <v>537</v>
      </c>
      <c r="D243">
        <v>2</v>
      </c>
      <c r="E243">
        <v>40</v>
      </c>
    </row>
    <row r="244" spans="1:5">
      <c r="A244">
        <v>470</v>
      </c>
      <c r="B244" t="s">
        <v>538</v>
      </c>
      <c r="C244" t="s">
        <v>539</v>
      </c>
      <c r="D244">
        <v>1</v>
      </c>
      <c r="E244">
        <v>32</v>
      </c>
    </row>
    <row r="245" spans="1:5">
      <c r="A245">
        <v>471</v>
      </c>
      <c r="B245" t="s">
        <v>302</v>
      </c>
      <c r="C245" t="s">
        <v>540</v>
      </c>
      <c r="D245">
        <v>1</v>
      </c>
      <c r="E245">
        <v>27</v>
      </c>
    </row>
    <row r="246" spans="1:5">
      <c r="A246">
        <v>472</v>
      </c>
      <c r="B246" t="s">
        <v>541</v>
      </c>
      <c r="C246" t="s">
        <v>542</v>
      </c>
      <c r="D246">
        <v>1</v>
      </c>
      <c r="E246">
        <v>30</v>
      </c>
    </row>
    <row r="247" spans="1:5">
      <c r="A247">
        <v>473</v>
      </c>
      <c r="B247" t="s">
        <v>543</v>
      </c>
      <c r="C247" t="s">
        <v>544</v>
      </c>
      <c r="D247">
        <v>2</v>
      </c>
      <c r="E247">
        <v>34</v>
      </c>
    </row>
    <row r="248" spans="1:5">
      <c r="A248">
        <v>479</v>
      </c>
      <c r="B248" t="s">
        <v>545</v>
      </c>
      <c r="C248" t="s">
        <v>546</v>
      </c>
      <c r="D248">
        <v>1</v>
      </c>
      <c r="E248">
        <v>31</v>
      </c>
    </row>
    <row r="249" spans="1:5">
      <c r="A249">
        <v>481</v>
      </c>
      <c r="B249" t="s">
        <v>547</v>
      </c>
      <c r="C249" t="s">
        <v>548</v>
      </c>
      <c r="D249">
        <v>1</v>
      </c>
      <c r="E249">
        <v>29</v>
      </c>
    </row>
    <row r="250" spans="1:5">
      <c r="A250">
        <v>482</v>
      </c>
      <c r="B250" t="s">
        <v>549</v>
      </c>
      <c r="C250" t="s">
        <v>550</v>
      </c>
      <c r="D250">
        <v>1</v>
      </c>
      <c r="E250">
        <v>29</v>
      </c>
    </row>
    <row r="251" spans="1:5">
      <c r="A251">
        <v>484</v>
      </c>
      <c r="B251" t="s">
        <v>551</v>
      </c>
      <c r="C251" t="s">
        <v>552</v>
      </c>
      <c r="D251">
        <v>1</v>
      </c>
      <c r="E251">
        <v>30</v>
      </c>
    </row>
    <row r="252" spans="1:5">
      <c r="A252">
        <v>485</v>
      </c>
      <c r="B252" t="s">
        <v>553</v>
      </c>
      <c r="C252" t="s">
        <v>554</v>
      </c>
      <c r="D252">
        <v>1</v>
      </c>
      <c r="E252">
        <v>29</v>
      </c>
    </row>
    <row r="253" spans="1:5">
      <c r="A253">
        <v>491</v>
      </c>
      <c r="B253" t="s">
        <v>555</v>
      </c>
      <c r="C253" t="s">
        <v>556</v>
      </c>
      <c r="D253">
        <v>2</v>
      </c>
      <c r="E253">
        <v>27</v>
      </c>
    </row>
    <row r="254" spans="1:5">
      <c r="A254">
        <v>494</v>
      </c>
      <c r="B254" t="s">
        <v>557</v>
      </c>
      <c r="C254" t="s">
        <v>558</v>
      </c>
      <c r="D254">
        <v>2</v>
      </c>
      <c r="E254">
        <v>31</v>
      </c>
    </row>
    <row r="255" spans="1:5">
      <c r="A255">
        <v>497</v>
      </c>
      <c r="B255" t="s">
        <v>304</v>
      </c>
      <c r="C255" t="s">
        <v>559</v>
      </c>
      <c r="D255">
        <v>2</v>
      </c>
      <c r="E255">
        <v>28</v>
      </c>
    </row>
    <row r="256" spans="1:5">
      <c r="A256">
        <v>498</v>
      </c>
      <c r="B256" t="s">
        <v>560</v>
      </c>
      <c r="C256" t="s">
        <v>561</v>
      </c>
      <c r="D256">
        <v>1</v>
      </c>
      <c r="E256">
        <v>27</v>
      </c>
    </row>
    <row r="257" spans="1:5">
      <c r="A257">
        <v>499</v>
      </c>
      <c r="B257" t="s">
        <v>562</v>
      </c>
      <c r="C257" t="s">
        <v>563</v>
      </c>
      <c r="D257">
        <v>2</v>
      </c>
      <c r="E257">
        <v>30</v>
      </c>
    </row>
    <row r="258" spans="1:5">
      <c r="A258">
        <v>500</v>
      </c>
      <c r="B258" t="s">
        <v>564</v>
      </c>
      <c r="C258" t="s">
        <v>565</v>
      </c>
      <c r="D258">
        <v>1</v>
      </c>
      <c r="E258">
        <v>28</v>
      </c>
    </row>
    <row r="259" spans="1:5">
      <c r="A259">
        <v>502</v>
      </c>
      <c r="B259" t="s">
        <v>566</v>
      </c>
      <c r="C259" t="s">
        <v>567</v>
      </c>
      <c r="D259">
        <v>1</v>
      </c>
      <c r="E259">
        <v>34</v>
      </c>
    </row>
    <row r="260" spans="1:5">
      <c r="A260">
        <v>503</v>
      </c>
      <c r="B260" t="s">
        <v>568</v>
      </c>
      <c r="C260" t="s">
        <v>569</v>
      </c>
      <c r="D260">
        <v>1</v>
      </c>
      <c r="E260">
        <v>32</v>
      </c>
    </row>
    <row r="261" spans="1:5">
      <c r="A261">
        <v>504</v>
      </c>
      <c r="B261" t="s">
        <v>570</v>
      </c>
      <c r="C261" t="s">
        <v>571</v>
      </c>
      <c r="D261">
        <v>1</v>
      </c>
      <c r="E261">
        <v>28</v>
      </c>
    </row>
    <row r="262" spans="1:5">
      <c r="A262">
        <v>506</v>
      </c>
      <c r="B262" t="s">
        <v>572</v>
      </c>
      <c r="C262" t="s">
        <v>573</v>
      </c>
      <c r="D262">
        <v>2</v>
      </c>
      <c r="E262">
        <v>35</v>
      </c>
    </row>
    <row r="263" spans="1:5">
      <c r="A263">
        <v>513</v>
      </c>
      <c r="B263" t="s">
        <v>574</v>
      </c>
      <c r="C263" t="s">
        <v>575</v>
      </c>
      <c r="D263">
        <v>2</v>
      </c>
      <c r="E263">
        <v>31</v>
      </c>
    </row>
    <row r="264" spans="1:5">
      <c r="A264">
        <v>515</v>
      </c>
      <c r="B264" t="s">
        <v>576</v>
      </c>
      <c r="C264" t="s">
        <v>577</v>
      </c>
      <c r="D264">
        <v>1</v>
      </c>
      <c r="E264">
        <v>28</v>
      </c>
    </row>
    <row r="265" spans="1:5">
      <c r="A265">
        <v>520</v>
      </c>
      <c r="B265" t="s">
        <v>578</v>
      </c>
      <c r="C265" t="s">
        <v>579</v>
      </c>
      <c r="D265">
        <v>2</v>
      </c>
      <c r="E265">
        <v>32</v>
      </c>
    </row>
    <row r="266" spans="1:5">
      <c r="A266">
        <v>522</v>
      </c>
      <c r="B266" t="s">
        <v>580</v>
      </c>
      <c r="C266" t="s">
        <v>581</v>
      </c>
      <c r="D266">
        <v>2</v>
      </c>
      <c r="E266">
        <v>33</v>
      </c>
    </row>
    <row r="267" spans="1:5">
      <c r="A267">
        <v>526</v>
      </c>
      <c r="B267" t="s">
        <v>582</v>
      </c>
      <c r="C267" t="s">
        <v>583</v>
      </c>
      <c r="D267">
        <v>2</v>
      </c>
      <c r="E267">
        <v>45</v>
      </c>
    </row>
    <row r="268" spans="1:5">
      <c r="A268">
        <v>529</v>
      </c>
      <c r="B268" t="s">
        <v>584</v>
      </c>
      <c r="C268" t="s">
        <v>585</v>
      </c>
      <c r="D268">
        <v>2</v>
      </c>
      <c r="E268">
        <v>29</v>
      </c>
    </row>
    <row r="269" spans="1:5">
      <c r="A269">
        <v>532</v>
      </c>
      <c r="B269" t="s">
        <v>586</v>
      </c>
      <c r="C269" t="s">
        <v>587</v>
      </c>
      <c r="D269">
        <v>2</v>
      </c>
      <c r="E269">
        <v>32</v>
      </c>
    </row>
    <row r="270" spans="1:5">
      <c r="A270">
        <v>533</v>
      </c>
      <c r="B270" t="s">
        <v>588</v>
      </c>
      <c r="C270" t="s">
        <v>589</v>
      </c>
      <c r="D270">
        <v>1</v>
      </c>
      <c r="E270">
        <v>33</v>
      </c>
    </row>
    <row r="271" spans="1:5">
      <c r="A271">
        <v>535</v>
      </c>
      <c r="B271" t="s">
        <v>590</v>
      </c>
      <c r="C271" t="s">
        <v>591</v>
      </c>
      <c r="D271">
        <v>1</v>
      </c>
      <c r="E271">
        <v>32</v>
      </c>
    </row>
    <row r="272" spans="1:5">
      <c r="A272">
        <v>538</v>
      </c>
      <c r="B272" t="s">
        <v>592</v>
      </c>
      <c r="C272" t="s">
        <v>593</v>
      </c>
      <c r="D272">
        <v>2</v>
      </c>
      <c r="E272">
        <v>29</v>
      </c>
    </row>
    <row r="273" spans="1:5">
      <c r="A273">
        <v>550</v>
      </c>
      <c r="B273" t="s">
        <v>594</v>
      </c>
      <c r="C273" t="s">
        <v>595</v>
      </c>
      <c r="D273">
        <v>2</v>
      </c>
      <c r="E273">
        <v>32</v>
      </c>
    </row>
    <row r="274" spans="1:5">
      <c r="A274">
        <v>558</v>
      </c>
      <c r="B274" t="s">
        <v>596</v>
      </c>
      <c r="C274" t="s">
        <v>597</v>
      </c>
      <c r="D274">
        <v>1</v>
      </c>
      <c r="E274">
        <v>28</v>
      </c>
    </row>
    <row r="275" spans="1:5">
      <c r="A275">
        <v>559</v>
      </c>
      <c r="B275" t="s">
        <v>598</v>
      </c>
      <c r="C275" t="s">
        <v>599</v>
      </c>
      <c r="D275">
        <v>2</v>
      </c>
      <c r="E275">
        <v>28</v>
      </c>
    </row>
    <row r="276" spans="1:5">
      <c r="A276">
        <v>560</v>
      </c>
      <c r="B276" t="s">
        <v>600</v>
      </c>
      <c r="C276" t="s">
        <v>601</v>
      </c>
      <c r="D276">
        <v>1</v>
      </c>
      <c r="E276">
        <v>30</v>
      </c>
    </row>
    <row r="277" spans="1:5">
      <c r="A277">
        <v>561</v>
      </c>
      <c r="B277" t="s">
        <v>602</v>
      </c>
      <c r="C277" t="s">
        <v>603</v>
      </c>
      <c r="D277">
        <v>2</v>
      </c>
      <c r="E277">
        <v>27</v>
      </c>
    </row>
    <row r="278" spans="1:5">
      <c r="A278">
        <v>563</v>
      </c>
      <c r="B278" t="s">
        <v>604</v>
      </c>
      <c r="C278" t="s">
        <v>605</v>
      </c>
      <c r="D278">
        <v>2</v>
      </c>
      <c r="E278">
        <v>29</v>
      </c>
    </row>
    <row r="279" spans="1:5">
      <c r="A279">
        <v>565</v>
      </c>
      <c r="B279" t="s">
        <v>606</v>
      </c>
      <c r="C279" t="s">
        <v>607</v>
      </c>
      <c r="D279">
        <v>2</v>
      </c>
      <c r="E279">
        <v>29</v>
      </c>
    </row>
    <row r="280" spans="1:5">
      <c r="A280">
        <v>566</v>
      </c>
      <c r="B280" t="s">
        <v>608</v>
      </c>
      <c r="C280" t="s">
        <v>609</v>
      </c>
      <c r="D280">
        <v>1</v>
      </c>
      <c r="E280">
        <v>34</v>
      </c>
    </row>
    <row r="281" spans="1:5">
      <c r="A281">
        <v>569</v>
      </c>
      <c r="B281" t="s">
        <v>610</v>
      </c>
      <c r="C281" t="s">
        <v>611</v>
      </c>
      <c r="D281">
        <v>2</v>
      </c>
      <c r="E281">
        <v>32</v>
      </c>
    </row>
    <row r="282" spans="1:5">
      <c r="A282">
        <v>573</v>
      </c>
      <c r="B282" t="s">
        <v>612</v>
      </c>
      <c r="C282" t="s">
        <v>613</v>
      </c>
      <c r="D282">
        <v>1</v>
      </c>
      <c r="E282">
        <v>29</v>
      </c>
    </row>
    <row r="283" spans="1:5">
      <c r="A283">
        <v>574</v>
      </c>
      <c r="B283" t="s">
        <v>614</v>
      </c>
      <c r="C283" t="s">
        <v>615</v>
      </c>
      <c r="D283">
        <v>2</v>
      </c>
      <c r="E283">
        <v>28</v>
      </c>
    </row>
    <row r="284" spans="1:5">
      <c r="A284">
        <v>575</v>
      </c>
      <c r="B284" t="s">
        <v>616</v>
      </c>
      <c r="C284" t="s">
        <v>617</v>
      </c>
      <c r="D284">
        <v>2</v>
      </c>
      <c r="E284">
        <v>29</v>
      </c>
    </row>
    <row r="285" spans="1:5">
      <c r="A285">
        <v>576</v>
      </c>
      <c r="B285" t="s">
        <v>128</v>
      </c>
      <c r="C285" t="s">
        <v>618</v>
      </c>
      <c r="D285">
        <v>2</v>
      </c>
      <c r="E285">
        <v>34</v>
      </c>
    </row>
    <row r="286" spans="1:5">
      <c r="A286">
        <v>577</v>
      </c>
      <c r="B286" t="s">
        <v>619</v>
      </c>
      <c r="C286" t="s">
        <v>620</v>
      </c>
      <c r="D286">
        <v>2</v>
      </c>
      <c r="E286">
        <v>27</v>
      </c>
    </row>
    <row r="287" spans="1:5">
      <c r="A287">
        <v>579</v>
      </c>
      <c r="B287" t="s">
        <v>621</v>
      </c>
      <c r="C287" t="s">
        <v>622</v>
      </c>
      <c r="D287">
        <v>2</v>
      </c>
      <c r="E287">
        <v>27</v>
      </c>
    </row>
    <row r="288" spans="1:5">
      <c r="A288">
        <v>580</v>
      </c>
      <c r="B288" t="s">
        <v>156</v>
      </c>
      <c r="C288" t="s">
        <v>623</v>
      </c>
      <c r="D288">
        <v>1</v>
      </c>
      <c r="E288">
        <v>27</v>
      </c>
    </row>
    <row r="289" spans="1:5">
      <c r="A289">
        <v>581</v>
      </c>
      <c r="B289" t="s">
        <v>624</v>
      </c>
      <c r="C289" t="s">
        <v>625</v>
      </c>
      <c r="D289">
        <v>1</v>
      </c>
      <c r="E289">
        <v>27</v>
      </c>
    </row>
    <row r="290" spans="1:5">
      <c r="A290">
        <v>584</v>
      </c>
      <c r="B290" t="s">
        <v>626</v>
      </c>
      <c r="C290" t="s">
        <v>627</v>
      </c>
      <c r="D290">
        <v>2</v>
      </c>
      <c r="E290">
        <v>30</v>
      </c>
    </row>
    <row r="291" spans="1:5">
      <c r="A291">
        <v>588</v>
      </c>
      <c r="B291" t="s">
        <v>257</v>
      </c>
      <c r="C291" t="s">
        <v>628</v>
      </c>
      <c r="D291">
        <v>1</v>
      </c>
      <c r="E291">
        <v>29</v>
      </c>
    </row>
    <row r="292" spans="1:5">
      <c r="A292">
        <v>589</v>
      </c>
      <c r="B292" t="s">
        <v>179</v>
      </c>
      <c r="C292" t="s">
        <v>629</v>
      </c>
      <c r="D292">
        <v>1</v>
      </c>
      <c r="E292">
        <v>28</v>
      </c>
    </row>
    <row r="293" spans="1:5">
      <c r="A293">
        <v>591</v>
      </c>
      <c r="B293" t="s">
        <v>630</v>
      </c>
      <c r="C293" t="s">
        <v>631</v>
      </c>
      <c r="D293">
        <v>1</v>
      </c>
      <c r="E293">
        <v>27</v>
      </c>
    </row>
    <row r="294" spans="1:5">
      <c r="A294">
        <v>592</v>
      </c>
      <c r="B294" t="s">
        <v>632</v>
      </c>
      <c r="C294" t="s">
        <v>633</v>
      </c>
      <c r="D294">
        <v>1</v>
      </c>
      <c r="E294">
        <v>29</v>
      </c>
    </row>
    <row r="295" spans="1:5">
      <c r="A295">
        <v>594</v>
      </c>
      <c r="B295" t="s">
        <v>634</v>
      </c>
      <c r="C295" t="s">
        <v>635</v>
      </c>
      <c r="D295">
        <v>1</v>
      </c>
      <c r="E295">
        <v>27</v>
      </c>
    </row>
    <row r="296" spans="1:5">
      <c r="A296">
        <v>595</v>
      </c>
      <c r="B296" t="s">
        <v>636</v>
      </c>
      <c r="C296" t="s">
        <v>637</v>
      </c>
      <c r="D296">
        <v>1</v>
      </c>
      <c r="E296">
        <v>30</v>
      </c>
    </row>
    <row r="297" spans="1:5">
      <c r="A297">
        <v>596</v>
      </c>
      <c r="B297" t="s">
        <v>638</v>
      </c>
      <c r="C297" t="s">
        <v>639</v>
      </c>
      <c r="D297">
        <v>1</v>
      </c>
      <c r="E297">
        <v>28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2D5F-6B7C-4ADC-B044-5D30191C1391}">
  <dimension ref="A1:I17"/>
  <sheetViews>
    <sheetView topLeftCell="D1" workbookViewId="0">
      <selection activeCell="I1" sqref="I1"/>
    </sheetView>
  </sheetViews>
  <sheetFormatPr defaultRowHeight="14.5"/>
  <cols>
    <col min="1" max="1" width="15.453125" customWidth="1"/>
    <col min="2" max="2" width="17.453125" customWidth="1"/>
    <col min="3" max="3" width="19.1796875" customWidth="1"/>
    <col min="4" max="4" width="31.6328125" bestFit="1" customWidth="1"/>
    <col min="5" max="5" width="30.90625" customWidth="1"/>
    <col min="7" max="7" width="17.36328125" bestFit="1" customWidth="1"/>
  </cols>
  <sheetData>
    <row r="1" spans="1:9">
      <c r="A1" t="s">
        <v>640</v>
      </c>
      <c r="B1" t="s">
        <v>641</v>
      </c>
      <c r="C1" t="s">
        <v>642</v>
      </c>
      <c r="D1" s="3" t="s">
        <v>1248</v>
      </c>
      <c r="E1" s="3" t="s">
        <v>1249</v>
      </c>
      <c r="G1" s="13" t="s">
        <v>1238</v>
      </c>
      <c r="I1" s="13" t="s">
        <v>1239</v>
      </c>
    </row>
    <row r="2" spans="1:9">
      <c r="A2" t="s">
        <v>643</v>
      </c>
      <c r="B2">
        <v>5314.21</v>
      </c>
      <c r="C2">
        <v>67406.559999999998</v>
      </c>
      <c r="D2">
        <v>7.88</v>
      </c>
      <c r="E2" s="10">
        <f>SUM($D$2:D2)</f>
        <v>7.88</v>
      </c>
      <c r="G2">
        <f>C2</f>
        <v>67406.559999999998</v>
      </c>
      <c r="I2" t="str">
        <f>INDEX(A2:A17,MATCH(MAX(B2:B17),B2:B17,0))</f>
        <v>Sports</v>
      </c>
    </row>
    <row r="3" spans="1:9">
      <c r="A3" t="s">
        <v>644</v>
      </c>
      <c r="B3">
        <v>4756.9799999999996</v>
      </c>
      <c r="C3">
        <v>67406.559999999998</v>
      </c>
      <c r="D3">
        <v>7.06</v>
      </c>
      <c r="E3" s="10">
        <f>SUM($D$2:D3)</f>
        <v>14.94</v>
      </c>
    </row>
    <row r="4" spans="1:9">
      <c r="A4" t="s">
        <v>645</v>
      </c>
      <c r="B4">
        <v>4656.3</v>
      </c>
      <c r="C4">
        <v>67406.559999999998</v>
      </c>
      <c r="D4">
        <v>6.91</v>
      </c>
      <c r="E4" s="10">
        <f>SUM($D$2:D4)</f>
        <v>21.85</v>
      </c>
    </row>
    <row r="5" spans="1:9">
      <c r="A5" t="s">
        <v>646</v>
      </c>
      <c r="B5">
        <v>4587.3900000000003</v>
      </c>
      <c r="C5">
        <v>67406.559999999998</v>
      </c>
      <c r="D5">
        <v>6.81</v>
      </c>
      <c r="E5" s="10">
        <f>SUM($D$2:D5)</f>
        <v>28.66</v>
      </c>
    </row>
    <row r="6" spans="1:9">
      <c r="A6" t="s">
        <v>647</v>
      </c>
      <c r="B6">
        <v>4383.58</v>
      </c>
      <c r="C6">
        <v>67406.559999999998</v>
      </c>
      <c r="D6">
        <v>6.5</v>
      </c>
      <c r="E6" s="10">
        <f>SUM($D$2:D6)</f>
        <v>35.159999999999997</v>
      </c>
    </row>
    <row r="7" spans="1:9">
      <c r="A7" t="s">
        <v>648</v>
      </c>
      <c r="B7">
        <v>4375.8500000000004</v>
      </c>
      <c r="C7">
        <v>67406.559999999998</v>
      </c>
      <c r="D7">
        <v>6.49</v>
      </c>
      <c r="E7" s="10">
        <f>SUM($D$2:D7)</f>
        <v>41.65</v>
      </c>
    </row>
    <row r="8" spans="1:9">
      <c r="A8" t="s">
        <v>649</v>
      </c>
      <c r="B8">
        <v>4351.62</v>
      </c>
      <c r="C8">
        <v>67406.559999999998</v>
      </c>
      <c r="D8">
        <v>6.46</v>
      </c>
      <c r="E8" s="10">
        <f>SUM($D$2:D8)</f>
        <v>48.11</v>
      </c>
    </row>
    <row r="9" spans="1:9">
      <c r="A9" t="s">
        <v>650</v>
      </c>
      <c r="B9">
        <v>4281.33</v>
      </c>
      <c r="C9">
        <v>67406.559999999998</v>
      </c>
      <c r="D9">
        <v>6.35</v>
      </c>
      <c r="E9" s="10">
        <f>SUM($D$2:D9)</f>
        <v>54.46</v>
      </c>
    </row>
    <row r="10" spans="1:9">
      <c r="A10" t="s">
        <v>651</v>
      </c>
      <c r="B10">
        <v>4270.67</v>
      </c>
      <c r="C10">
        <v>67406.559999999998</v>
      </c>
      <c r="D10">
        <v>6.34</v>
      </c>
      <c r="E10" s="10">
        <f>SUM($D$2:D10)</f>
        <v>60.8</v>
      </c>
    </row>
    <row r="11" spans="1:9">
      <c r="A11" t="s">
        <v>652</v>
      </c>
      <c r="B11">
        <v>4226.07</v>
      </c>
      <c r="C11">
        <v>67406.559999999998</v>
      </c>
      <c r="D11">
        <v>6.27</v>
      </c>
      <c r="E11" s="10">
        <f>SUM($D$2:D11)</f>
        <v>67.069999999999993</v>
      </c>
    </row>
    <row r="12" spans="1:9">
      <c r="A12" t="s">
        <v>653</v>
      </c>
      <c r="B12">
        <v>4217.5200000000004</v>
      </c>
      <c r="C12">
        <v>67406.559999999998</v>
      </c>
      <c r="D12">
        <v>6.26</v>
      </c>
      <c r="E12" s="10">
        <f>SUM($D$2:D12)</f>
        <v>73.33</v>
      </c>
    </row>
    <row r="13" spans="1:9">
      <c r="A13" t="s">
        <v>654</v>
      </c>
      <c r="B13">
        <v>3722.54</v>
      </c>
      <c r="C13">
        <v>67406.559999999998</v>
      </c>
      <c r="D13">
        <v>5.52</v>
      </c>
      <c r="E13" s="10">
        <f>SUM($D$2:D13)</f>
        <v>78.849999999999994</v>
      </c>
    </row>
    <row r="14" spans="1:9">
      <c r="A14" t="s">
        <v>655</v>
      </c>
      <c r="B14">
        <v>3655.55</v>
      </c>
      <c r="C14">
        <v>67406.559999999998</v>
      </c>
      <c r="D14">
        <v>5.42</v>
      </c>
      <c r="E14" s="10">
        <f>SUM($D$2:D14)</f>
        <v>84.27</v>
      </c>
    </row>
    <row r="15" spans="1:9">
      <c r="A15" t="s">
        <v>656</v>
      </c>
      <c r="B15">
        <v>3639.59</v>
      </c>
      <c r="C15">
        <v>67406.559999999998</v>
      </c>
      <c r="D15">
        <v>5.4</v>
      </c>
      <c r="E15" s="10">
        <f>SUM($D$2:D15)</f>
        <v>89.67</v>
      </c>
    </row>
    <row r="16" spans="1:9">
      <c r="A16" t="s">
        <v>657</v>
      </c>
      <c r="B16">
        <v>3549.64</v>
      </c>
      <c r="C16">
        <v>67406.559999999998</v>
      </c>
      <c r="D16">
        <v>5.27</v>
      </c>
      <c r="E16" s="10">
        <f>SUM($D$2:D16)</f>
        <v>94.94</v>
      </c>
    </row>
    <row r="17" spans="1:5">
      <c r="A17" t="s">
        <v>658</v>
      </c>
      <c r="B17">
        <v>3417.72</v>
      </c>
      <c r="C17">
        <v>67406.559999999998</v>
      </c>
      <c r="D17">
        <v>5.07</v>
      </c>
      <c r="E17" s="10">
        <f>SUM($D$2:D17)</f>
        <v>100.00999999999999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2A04-59F3-416E-B30D-AB84B2E6F77B}">
  <dimension ref="A1:I2"/>
  <sheetViews>
    <sheetView workbookViewId="0">
      <selection activeCell="I1" sqref="I1"/>
    </sheetView>
  </sheetViews>
  <sheetFormatPr defaultRowHeight="14.5"/>
  <cols>
    <col min="1" max="1" width="9.08984375" customWidth="1"/>
    <col min="2" max="2" width="11.7265625" customWidth="1"/>
    <col min="3" max="3" width="11.453125" customWidth="1"/>
    <col min="4" max="4" width="18" customWidth="1"/>
  </cols>
  <sheetData>
    <row r="1" spans="1:9">
      <c r="A1" t="s">
        <v>659</v>
      </c>
      <c r="B1" t="s">
        <v>60</v>
      </c>
      <c r="C1" t="s">
        <v>61</v>
      </c>
      <c r="D1" t="s">
        <v>660</v>
      </c>
      <c r="F1" s="13" t="s">
        <v>1240</v>
      </c>
      <c r="I1" s="13" t="s">
        <v>1241</v>
      </c>
    </row>
    <row r="2" spans="1:9">
      <c r="A2">
        <v>1</v>
      </c>
      <c r="B2" t="s">
        <v>661</v>
      </c>
      <c r="C2" t="s">
        <v>662</v>
      </c>
      <c r="D2">
        <v>8054</v>
      </c>
      <c r="F2">
        <f>Table6[[#This Row],[transaction_count]]</f>
        <v>8054</v>
      </c>
      <c r="I2" t="str">
        <f>Table6[[#This Row],[first_name]]&amp; " " &amp;Table6[[#This Row],[last_name]]</f>
        <v>Mike Hillyer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2C7C-D477-4553-B49B-DAFF79F8D328}">
  <dimension ref="A1:G600"/>
  <sheetViews>
    <sheetView workbookViewId="0">
      <selection activeCell="G24" sqref="G24"/>
    </sheetView>
  </sheetViews>
  <sheetFormatPr defaultRowHeight="14.5"/>
  <cols>
    <col min="1" max="1" width="13.1796875" customWidth="1"/>
    <col min="2" max="2" width="11.7265625" customWidth="1"/>
    <col min="3" max="3" width="11.453125" customWidth="1"/>
    <col min="4" max="4" width="12.1796875" style="11" customWidth="1"/>
    <col min="5" max="5" width="19.26953125" customWidth="1"/>
  </cols>
  <sheetData>
    <row r="1" spans="1:7">
      <c r="A1" t="s">
        <v>0</v>
      </c>
      <c r="B1" t="s">
        <v>60</v>
      </c>
      <c r="C1" t="s">
        <v>61</v>
      </c>
      <c r="D1" s="11" t="s">
        <v>663</v>
      </c>
      <c r="E1" t="s">
        <v>664</v>
      </c>
      <c r="G1" s="13" t="s">
        <v>1242</v>
      </c>
    </row>
    <row r="2" spans="1:7">
      <c r="A2">
        <v>526</v>
      </c>
      <c r="B2" t="s">
        <v>582</v>
      </c>
      <c r="C2" t="s">
        <v>583</v>
      </c>
      <c r="D2" s="11">
        <v>221.55</v>
      </c>
      <c r="E2">
        <v>1</v>
      </c>
      <c r="G2">
        <f>MAX(D2:D600)</f>
        <v>221.55</v>
      </c>
    </row>
    <row r="3" spans="1:7">
      <c r="A3">
        <v>148</v>
      </c>
      <c r="B3" t="s">
        <v>229</v>
      </c>
      <c r="C3" t="s">
        <v>230</v>
      </c>
      <c r="D3" s="11">
        <v>216.54</v>
      </c>
      <c r="E3">
        <v>2</v>
      </c>
    </row>
    <row r="4" spans="1:7">
      <c r="A4">
        <v>144</v>
      </c>
      <c r="B4" t="s">
        <v>221</v>
      </c>
      <c r="C4" t="s">
        <v>222</v>
      </c>
      <c r="D4" s="11">
        <v>195.58</v>
      </c>
      <c r="E4">
        <v>3</v>
      </c>
      <c r="G4" s="13" t="s">
        <v>1243</v>
      </c>
    </row>
    <row r="5" spans="1:7">
      <c r="A5">
        <v>137</v>
      </c>
      <c r="B5" t="s">
        <v>213</v>
      </c>
      <c r="C5" t="s">
        <v>214</v>
      </c>
      <c r="D5" s="11">
        <v>194.61</v>
      </c>
      <c r="E5">
        <v>4</v>
      </c>
      <c r="G5" t="str">
        <f>B2&amp;" "&amp;C2</f>
        <v>KARL SEAL</v>
      </c>
    </row>
    <row r="6" spans="1:7">
      <c r="A6">
        <v>178</v>
      </c>
      <c r="B6" t="s">
        <v>257</v>
      </c>
      <c r="C6" t="s">
        <v>258</v>
      </c>
      <c r="D6" s="11">
        <v>194.61</v>
      </c>
      <c r="E6">
        <v>4</v>
      </c>
    </row>
    <row r="7" spans="1:7">
      <c r="A7">
        <v>459</v>
      </c>
      <c r="B7" t="s">
        <v>527</v>
      </c>
      <c r="C7" t="s">
        <v>528</v>
      </c>
      <c r="D7" s="11">
        <v>186.62</v>
      </c>
      <c r="E7">
        <v>6</v>
      </c>
    </row>
    <row r="8" spans="1:7">
      <c r="A8">
        <v>469</v>
      </c>
      <c r="B8" t="s">
        <v>536</v>
      </c>
      <c r="C8" t="s">
        <v>537</v>
      </c>
      <c r="D8" s="11">
        <v>177.6</v>
      </c>
      <c r="E8">
        <v>7</v>
      </c>
    </row>
    <row r="9" spans="1:7">
      <c r="A9">
        <v>468</v>
      </c>
      <c r="B9" t="s">
        <v>534</v>
      </c>
      <c r="C9" t="s">
        <v>535</v>
      </c>
      <c r="D9" s="11">
        <v>175.61</v>
      </c>
      <c r="E9">
        <v>8</v>
      </c>
    </row>
    <row r="10" spans="1:7">
      <c r="A10">
        <v>236</v>
      </c>
      <c r="B10" t="s">
        <v>301</v>
      </c>
      <c r="C10" t="s">
        <v>302</v>
      </c>
      <c r="D10" s="11">
        <v>175.58</v>
      </c>
      <c r="E10">
        <v>9</v>
      </c>
    </row>
    <row r="11" spans="1:7">
      <c r="A11">
        <v>181</v>
      </c>
      <c r="B11" t="s">
        <v>261</v>
      </c>
      <c r="C11" t="s">
        <v>262</v>
      </c>
      <c r="D11" s="11">
        <v>174.66</v>
      </c>
      <c r="E11">
        <v>10</v>
      </c>
    </row>
    <row r="12" spans="1:7">
      <c r="A12">
        <v>176</v>
      </c>
      <c r="B12" t="s">
        <v>255</v>
      </c>
      <c r="C12" t="s">
        <v>256</v>
      </c>
      <c r="D12" s="11">
        <v>173.63</v>
      </c>
      <c r="E12">
        <v>11</v>
      </c>
    </row>
    <row r="13" spans="1:7">
      <c r="A13">
        <v>50</v>
      </c>
      <c r="B13" t="s">
        <v>121</v>
      </c>
      <c r="C13" t="s">
        <v>122</v>
      </c>
      <c r="D13" s="11">
        <v>169.65</v>
      </c>
      <c r="E13">
        <v>12</v>
      </c>
    </row>
    <row r="14" spans="1:7">
      <c r="A14">
        <v>259</v>
      </c>
      <c r="B14" t="s">
        <v>325</v>
      </c>
      <c r="C14" t="s">
        <v>326</v>
      </c>
      <c r="D14" s="11">
        <v>168.68</v>
      </c>
      <c r="E14">
        <v>13</v>
      </c>
    </row>
    <row r="15" spans="1:7">
      <c r="A15">
        <v>522</v>
      </c>
      <c r="B15" t="s">
        <v>580</v>
      </c>
      <c r="C15" t="s">
        <v>581</v>
      </c>
      <c r="D15" s="11">
        <v>167.67</v>
      </c>
      <c r="E15">
        <v>14</v>
      </c>
    </row>
    <row r="16" spans="1:7">
      <c r="A16">
        <v>410</v>
      </c>
      <c r="B16" t="s">
        <v>489</v>
      </c>
      <c r="C16" t="s">
        <v>490</v>
      </c>
      <c r="D16" s="11">
        <v>167.62</v>
      </c>
      <c r="E16">
        <v>15</v>
      </c>
    </row>
    <row r="17" spans="1:5">
      <c r="A17">
        <v>403</v>
      </c>
      <c r="B17" t="s">
        <v>478</v>
      </c>
      <c r="C17" t="s">
        <v>479</v>
      </c>
      <c r="D17" s="11">
        <v>166.65</v>
      </c>
      <c r="E17">
        <v>16</v>
      </c>
    </row>
    <row r="18" spans="1:5">
      <c r="A18">
        <v>295</v>
      </c>
      <c r="B18" t="s">
        <v>374</v>
      </c>
      <c r="C18" t="s">
        <v>375</v>
      </c>
      <c r="D18" s="11">
        <v>162.62</v>
      </c>
      <c r="E18">
        <v>17</v>
      </c>
    </row>
    <row r="19" spans="1:5">
      <c r="A19">
        <v>209</v>
      </c>
      <c r="B19" t="s">
        <v>283</v>
      </c>
      <c r="C19" t="s">
        <v>284</v>
      </c>
      <c r="D19" s="11">
        <v>161.68</v>
      </c>
      <c r="E19">
        <v>18</v>
      </c>
    </row>
    <row r="20" spans="1:5">
      <c r="A20">
        <v>373</v>
      </c>
      <c r="B20" t="s">
        <v>451</v>
      </c>
      <c r="C20" t="s">
        <v>452</v>
      </c>
      <c r="D20" s="11">
        <v>161.65</v>
      </c>
      <c r="E20">
        <v>19</v>
      </c>
    </row>
    <row r="21" spans="1:5">
      <c r="A21">
        <v>470</v>
      </c>
      <c r="B21" t="s">
        <v>538</v>
      </c>
      <c r="C21" t="s">
        <v>539</v>
      </c>
      <c r="D21" s="11">
        <v>160.68</v>
      </c>
      <c r="E21">
        <v>20</v>
      </c>
    </row>
    <row r="22" spans="1:5">
      <c r="A22">
        <v>187</v>
      </c>
      <c r="B22" t="s">
        <v>265</v>
      </c>
      <c r="C22" t="s">
        <v>266</v>
      </c>
      <c r="D22" s="11">
        <v>159.72</v>
      </c>
      <c r="E22">
        <v>21</v>
      </c>
    </row>
    <row r="23" spans="1:5">
      <c r="A23">
        <v>550</v>
      </c>
      <c r="B23" t="s">
        <v>594</v>
      </c>
      <c r="C23" t="s">
        <v>595</v>
      </c>
      <c r="D23" s="11">
        <v>159.68</v>
      </c>
      <c r="E23">
        <v>22</v>
      </c>
    </row>
    <row r="24" spans="1:5">
      <c r="A24">
        <v>462</v>
      </c>
      <c r="B24" t="s">
        <v>216</v>
      </c>
      <c r="C24" t="s">
        <v>531</v>
      </c>
      <c r="D24" s="11">
        <v>159.66999999999999</v>
      </c>
      <c r="E24">
        <v>23</v>
      </c>
    </row>
    <row r="25" spans="1:5">
      <c r="A25">
        <v>267</v>
      </c>
      <c r="B25" t="s">
        <v>336</v>
      </c>
      <c r="C25" t="s">
        <v>337</v>
      </c>
      <c r="D25" s="11">
        <v>159.63999999999999</v>
      </c>
      <c r="E25">
        <v>24</v>
      </c>
    </row>
    <row r="26" spans="1:5">
      <c r="A26">
        <v>293</v>
      </c>
      <c r="B26" t="s">
        <v>372</v>
      </c>
      <c r="C26" t="s">
        <v>373</v>
      </c>
      <c r="D26" s="11">
        <v>158.69</v>
      </c>
      <c r="E26">
        <v>25</v>
      </c>
    </row>
    <row r="27" spans="1:5">
      <c r="A27">
        <v>372</v>
      </c>
      <c r="B27" t="s">
        <v>449</v>
      </c>
      <c r="C27" t="s">
        <v>450</v>
      </c>
      <c r="D27" s="11">
        <v>158.66</v>
      </c>
      <c r="E27">
        <v>26</v>
      </c>
    </row>
    <row r="28" spans="1:5">
      <c r="A28">
        <v>273</v>
      </c>
      <c r="B28" t="s">
        <v>342</v>
      </c>
      <c r="C28" t="s">
        <v>343</v>
      </c>
      <c r="D28" s="11">
        <v>157.65</v>
      </c>
      <c r="E28">
        <v>27</v>
      </c>
    </row>
    <row r="29" spans="1:5">
      <c r="A29">
        <v>368</v>
      </c>
      <c r="B29" t="s">
        <v>445</v>
      </c>
      <c r="C29" t="s">
        <v>446</v>
      </c>
      <c r="D29" s="11">
        <v>157.65</v>
      </c>
      <c r="E29">
        <v>27</v>
      </c>
    </row>
    <row r="30" spans="1:5">
      <c r="A30">
        <v>346</v>
      </c>
      <c r="B30" t="s">
        <v>423</v>
      </c>
      <c r="C30" t="s">
        <v>424</v>
      </c>
      <c r="D30" s="11">
        <v>155.68</v>
      </c>
      <c r="E30">
        <v>29</v>
      </c>
    </row>
    <row r="31" spans="1:5">
      <c r="A31">
        <v>21</v>
      </c>
      <c r="B31" t="s">
        <v>85</v>
      </c>
      <c r="C31" t="s">
        <v>86</v>
      </c>
      <c r="D31" s="11">
        <v>155.65</v>
      </c>
      <c r="E31">
        <v>30</v>
      </c>
    </row>
    <row r="32" spans="1:5">
      <c r="A32">
        <v>75</v>
      </c>
      <c r="B32" t="s">
        <v>149</v>
      </c>
      <c r="C32" t="s">
        <v>150</v>
      </c>
      <c r="D32" s="11">
        <v>155.59</v>
      </c>
      <c r="E32">
        <v>31</v>
      </c>
    </row>
    <row r="33" spans="1:5">
      <c r="A33">
        <v>197</v>
      </c>
      <c r="B33" t="s">
        <v>271</v>
      </c>
      <c r="C33" t="s">
        <v>272</v>
      </c>
      <c r="D33" s="11">
        <v>154.6</v>
      </c>
      <c r="E33">
        <v>32</v>
      </c>
    </row>
    <row r="34" spans="1:5">
      <c r="A34">
        <v>119</v>
      </c>
      <c r="B34" t="s">
        <v>191</v>
      </c>
      <c r="C34" t="s">
        <v>192</v>
      </c>
      <c r="D34" s="11">
        <v>153.66</v>
      </c>
      <c r="E34">
        <v>33</v>
      </c>
    </row>
    <row r="35" spans="1:5">
      <c r="A35">
        <v>532</v>
      </c>
      <c r="B35" t="s">
        <v>586</v>
      </c>
      <c r="C35" t="s">
        <v>587</v>
      </c>
      <c r="D35" s="11">
        <v>152.68</v>
      </c>
      <c r="E35">
        <v>34</v>
      </c>
    </row>
    <row r="36" spans="1:5">
      <c r="A36">
        <v>390</v>
      </c>
      <c r="B36" t="s">
        <v>466</v>
      </c>
      <c r="C36" t="s">
        <v>467</v>
      </c>
      <c r="D36" s="11">
        <v>152.66999999999999</v>
      </c>
      <c r="E36">
        <v>35</v>
      </c>
    </row>
    <row r="37" spans="1:5">
      <c r="A37">
        <v>26</v>
      </c>
      <c r="B37" t="s">
        <v>91</v>
      </c>
      <c r="C37" t="s">
        <v>92</v>
      </c>
      <c r="D37" s="11">
        <v>152.66</v>
      </c>
      <c r="E37">
        <v>36</v>
      </c>
    </row>
    <row r="38" spans="1:5">
      <c r="A38">
        <v>274</v>
      </c>
      <c r="B38" t="s">
        <v>344</v>
      </c>
      <c r="C38" t="s">
        <v>345</v>
      </c>
      <c r="D38" s="11">
        <v>152.65</v>
      </c>
      <c r="E38">
        <v>37</v>
      </c>
    </row>
    <row r="39" spans="1:5">
      <c r="A39">
        <v>506</v>
      </c>
      <c r="B39" t="s">
        <v>572</v>
      </c>
      <c r="C39" t="s">
        <v>573</v>
      </c>
      <c r="D39" s="11">
        <v>152.65</v>
      </c>
      <c r="E39">
        <v>37</v>
      </c>
    </row>
    <row r="40" spans="1:5">
      <c r="A40">
        <v>366</v>
      </c>
      <c r="B40" t="s">
        <v>443</v>
      </c>
      <c r="C40" t="s">
        <v>444</v>
      </c>
      <c r="D40" s="11">
        <v>152.63</v>
      </c>
      <c r="E40">
        <v>39</v>
      </c>
    </row>
    <row r="41" spans="1:5">
      <c r="A41">
        <v>7</v>
      </c>
      <c r="B41" t="s">
        <v>71</v>
      </c>
      <c r="C41" t="s">
        <v>72</v>
      </c>
      <c r="D41" s="11">
        <v>151.66999999999999</v>
      </c>
      <c r="E41">
        <v>40</v>
      </c>
    </row>
    <row r="42" spans="1:5">
      <c r="A42">
        <v>454</v>
      </c>
      <c r="B42" t="s">
        <v>523</v>
      </c>
      <c r="C42" t="s">
        <v>524</v>
      </c>
      <c r="D42" s="11">
        <v>151.66999999999999</v>
      </c>
      <c r="E42">
        <v>40</v>
      </c>
    </row>
    <row r="43" spans="1:5">
      <c r="A43">
        <v>211</v>
      </c>
      <c r="B43" t="s">
        <v>287</v>
      </c>
      <c r="C43" t="s">
        <v>288</v>
      </c>
      <c r="D43" s="11">
        <v>151.66</v>
      </c>
      <c r="E43">
        <v>42</v>
      </c>
    </row>
    <row r="44" spans="1:5">
      <c r="A44">
        <v>196</v>
      </c>
      <c r="B44" t="s">
        <v>269</v>
      </c>
      <c r="C44" t="s">
        <v>270</v>
      </c>
      <c r="D44" s="11">
        <v>151.65</v>
      </c>
      <c r="E44">
        <v>43</v>
      </c>
    </row>
    <row r="45" spans="1:5">
      <c r="A45">
        <v>439</v>
      </c>
      <c r="B45" t="s">
        <v>172</v>
      </c>
      <c r="C45" t="s">
        <v>506</v>
      </c>
      <c r="D45" s="11">
        <v>151.63999999999999</v>
      </c>
      <c r="E45">
        <v>44</v>
      </c>
    </row>
    <row r="46" spans="1:5">
      <c r="A46">
        <v>257</v>
      </c>
      <c r="B46" t="s">
        <v>323</v>
      </c>
      <c r="C46" t="s">
        <v>324</v>
      </c>
      <c r="D46" s="11">
        <v>151.63</v>
      </c>
      <c r="E46">
        <v>45</v>
      </c>
    </row>
    <row r="47" spans="1:5">
      <c r="A47">
        <v>360</v>
      </c>
      <c r="B47" t="s">
        <v>435</v>
      </c>
      <c r="C47" t="s">
        <v>436</v>
      </c>
      <c r="D47" s="11">
        <v>150.66</v>
      </c>
      <c r="E47">
        <v>46</v>
      </c>
    </row>
    <row r="48" spans="1:5">
      <c r="A48">
        <v>371</v>
      </c>
      <c r="B48" t="s">
        <v>447</v>
      </c>
      <c r="C48" t="s">
        <v>448</v>
      </c>
      <c r="D48" s="11">
        <v>149.65</v>
      </c>
      <c r="E48">
        <v>47</v>
      </c>
    </row>
    <row r="49" spans="1:5">
      <c r="A49">
        <v>513</v>
      </c>
      <c r="B49" t="s">
        <v>574</v>
      </c>
      <c r="C49" t="s">
        <v>575</v>
      </c>
      <c r="D49" s="11">
        <v>148.69</v>
      </c>
      <c r="E49">
        <v>48</v>
      </c>
    </row>
    <row r="50" spans="1:5">
      <c r="A50">
        <v>86</v>
      </c>
      <c r="B50" t="s">
        <v>159</v>
      </c>
      <c r="C50" t="s">
        <v>160</v>
      </c>
      <c r="D50" s="11">
        <v>148.66999999999999</v>
      </c>
      <c r="E50">
        <v>49</v>
      </c>
    </row>
    <row r="51" spans="1:5">
      <c r="A51">
        <v>309</v>
      </c>
      <c r="B51" t="s">
        <v>388</v>
      </c>
      <c r="C51" t="s">
        <v>389</v>
      </c>
      <c r="D51" s="11">
        <v>147.69</v>
      </c>
      <c r="E51">
        <v>50</v>
      </c>
    </row>
    <row r="52" spans="1:5">
      <c r="A52">
        <v>204</v>
      </c>
      <c r="B52" t="s">
        <v>277</v>
      </c>
      <c r="C52" t="s">
        <v>278</v>
      </c>
      <c r="D52" s="11">
        <v>147.65</v>
      </c>
      <c r="E52">
        <v>51</v>
      </c>
    </row>
    <row r="53" spans="1:5">
      <c r="A53">
        <v>103</v>
      </c>
      <c r="B53" t="s">
        <v>175</v>
      </c>
      <c r="C53" t="s">
        <v>176</v>
      </c>
      <c r="D53" s="11">
        <v>146.69</v>
      </c>
      <c r="E53">
        <v>52</v>
      </c>
    </row>
    <row r="54" spans="1:5">
      <c r="A54">
        <v>479</v>
      </c>
      <c r="B54" t="s">
        <v>545</v>
      </c>
      <c r="C54" t="s">
        <v>546</v>
      </c>
      <c r="D54" s="11">
        <v>146.69</v>
      </c>
      <c r="E54">
        <v>52</v>
      </c>
    </row>
    <row r="55" spans="1:5">
      <c r="A55">
        <v>348</v>
      </c>
      <c r="B55" t="s">
        <v>427</v>
      </c>
      <c r="C55" t="s">
        <v>428</v>
      </c>
      <c r="D55" s="11">
        <v>146.63999999999999</v>
      </c>
      <c r="E55">
        <v>54</v>
      </c>
    </row>
    <row r="56" spans="1:5">
      <c r="A56">
        <v>87</v>
      </c>
      <c r="B56" t="s">
        <v>161</v>
      </c>
      <c r="C56" t="s">
        <v>162</v>
      </c>
      <c r="D56" s="11">
        <v>145.69999999999999</v>
      </c>
      <c r="E56">
        <v>55</v>
      </c>
    </row>
    <row r="57" spans="1:5">
      <c r="A57">
        <v>362</v>
      </c>
      <c r="B57" t="s">
        <v>439</v>
      </c>
      <c r="C57" t="s">
        <v>440</v>
      </c>
      <c r="D57" s="11">
        <v>145.68</v>
      </c>
      <c r="E57">
        <v>56</v>
      </c>
    </row>
    <row r="58" spans="1:5">
      <c r="A58">
        <v>172</v>
      </c>
      <c r="B58" t="s">
        <v>251</v>
      </c>
      <c r="C58" t="s">
        <v>252</v>
      </c>
      <c r="D58" s="11">
        <v>145.66999999999999</v>
      </c>
      <c r="E58">
        <v>57</v>
      </c>
    </row>
    <row r="59" spans="1:5">
      <c r="A59">
        <v>436</v>
      </c>
      <c r="B59" t="s">
        <v>502</v>
      </c>
      <c r="C59" t="s">
        <v>503</v>
      </c>
      <c r="D59" s="11">
        <v>144.69999999999999</v>
      </c>
      <c r="E59">
        <v>58</v>
      </c>
    </row>
    <row r="60" spans="1:5">
      <c r="A60">
        <v>277</v>
      </c>
      <c r="B60" t="s">
        <v>350</v>
      </c>
      <c r="C60" t="s">
        <v>351</v>
      </c>
      <c r="D60" s="11">
        <v>144.68</v>
      </c>
      <c r="E60">
        <v>59</v>
      </c>
    </row>
    <row r="61" spans="1:5">
      <c r="A61">
        <v>237</v>
      </c>
      <c r="B61" t="s">
        <v>303</v>
      </c>
      <c r="C61" t="s">
        <v>304</v>
      </c>
      <c r="D61" s="11">
        <v>144.66999999999999</v>
      </c>
      <c r="E61">
        <v>60</v>
      </c>
    </row>
    <row r="62" spans="1:5">
      <c r="A62">
        <v>66</v>
      </c>
      <c r="B62" t="s">
        <v>141</v>
      </c>
      <c r="C62" t="s">
        <v>142</v>
      </c>
      <c r="D62" s="11">
        <v>144.66</v>
      </c>
      <c r="E62">
        <v>61</v>
      </c>
    </row>
    <row r="63" spans="1:5">
      <c r="A63">
        <v>5</v>
      </c>
      <c r="B63" t="s">
        <v>67</v>
      </c>
      <c r="C63" t="s">
        <v>68</v>
      </c>
      <c r="D63" s="11">
        <v>144.62</v>
      </c>
      <c r="E63">
        <v>62</v>
      </c>
    </row>
    <row r="64" spans="1:5">
      <c r="A64">
        <v>337</v>
      </c>
      <c r="B64" t="s">
        <v>413</v>
      </c>
      <c r="C64" t="s">
        <v>414</v>
      </c>
      <c r="D64" s="11">
        <v>143.71</v>
      </c>
      <c r="E64">
        <v>63</v>
      </c>
    </row>
    <row r="65" spans="1:5">
      <c r="A65">
        <v>363</v>
      </c>
      <c r="B65" t="s">
        <v>441</v>
      </c>
      <c r="C65" t="s">
        <v>442</v>
      </c>
      <c r="D65" s="11">
        <v>143.71</v>
      </c>
      <c r="E65">
        <v>63</v>
      </c>
    </row>
    <row r="66" spans="1:5">
      <c r="A66">
        <v>120</v>
      </c>
      <c r="B66" t="s">
        <v>193</v>
      </c>
      <c r="C66" t="s">
        <v>194</v>
      </c>
      <c r="D66" s="11">
        <v>143.68</v>
      </c>
      <c r="E66">
        <v>65</v>
      </c>
    </row>
    <row r="67" spans="1:5">
      <c r="A67">
        <v>289</v>
      </c>
      <c r="B67" t="s">
        <v>366</v>
      </c>
      <c r="C67" t="s">
        <v>367</v>
      </c>
      <c r="D67" s="11">
        <v>142.69999999999999</v>
      </c>
      <c r="E67">
        <v>66</v>
      </c>
    </row>
    <row r="68" spans="1:5">
      <c r="A68">
        <v>347</v>
      </c>
      <c r="B68" t="s">
        <v>425</v>
      </c>
      <c r="C68" t="s">
        <v>426</v>
      </c>
      <c r="D68" s="11">
        <v>142.69999999999999</v>
      </c>
      <c r="E68">
        <v>66</v>
      </c>
    </row>
    <row r="69" spans="1:5">
      <c r="A69">
        <v>46</v>
      </c>
      <c r="B69" t="s">
        <v>117</v>
      </c>
      <c r="C69" t="s">
        <v>118</v>
      </c>
      <c r="D69" s="11">
        <v>142.66</v>
      </c>
      <c r="E69">
        <v>68</v>
      </c>
    </row>
    <row r="70" spans="1:5">
      <c r="A70">
        <v>239</v>
      </c>
      <c r="B70" t="s">
        <v>305</v>
      </c>
      <c r="C70" t="s">
        <v>306</v>
      </c>
      <c r="D70" s="11">
        <v>142.66</v>
      </c>
      <c r="E70">
        <v>68</v>
      </c>
    </row>
    <row r="71" spans="1:5">
      <c r="A71">
        <v>39</v>
      </c>
      <c r="B71" t="s">
        <v>109</v>
      </c>
      <c r="C71" t="s">
        <v>110</v>
      </c>
      <c r="D71" s="11">
        <v>141.71</v>
      </c>
      <c r="E71">
        <v>70</v>
      </c>
    </row>
    <row r="72" spans="1:5">
      <c r="A72">
        <v>472</v>
      </c>
      <c r="B72" t="s">
        <v>541</v>
      </c>
      <c r="C72" t="s">
        <v>542</v>
      </c>
      <c r="D72" s="11">
        <v>141.69999999999999</v>
      </c>
      <c r="E72">
        <v>71</v>
      </c>
    </row>
    <row r="73" spans="1:5">
      <c r="A73">
        <v>78</v>
      </c>
      <c r="B73" t="s">
        <v>153</v>
      </c>
      <c r="C73" t="s">
        <v>154</v>
      </c>
      <c r="D73" s="11">
        <v>141.69</v>
      </c>
      <c r="E73">
        <v>72</v>
      </c>
    </row>
    <row r="74" spans="1:5">
      <c r="A74">
        <v>84</v>
      </c>
      <c r="B74" t="s">
        <v>157</v>
      </c>
      <c r="C74" t="s">
        <v>158</v>
      </c>
      <c r="D74" s="11">
        <v>141.66999999999999</v>
      </c>
      <c r="E74">
        <v>73</v>
      </c>
    </row>
    <row r="75" spans="1:5">
      <c r="A75">
        <v>533</v>
      </c>
      <c r="B75" t="s">
        <v>588</v>
      </c>
      <c r="C75" t="s">
        <v>589</v>
      </c>
      <c r="D75" s="11">
        <v>141.66999999999999</v>
      </c>
      <c r="E75">
        <v>73</v>
      </c>
    </row>
    <row r="76" spans="1:5">
      <c r="A76">
        <v>566</v>
      </c>
      <c r="B76" t="s">
        <v>608</v>
      </c>
      <c r="C76" t="s">
        <v>609</v>
      </c>
      <c r="D76" s="11">
        <v>141.66</v>
      </c>
      <c r="E76">
        <v>75</v>
      </c>
    </row>
    <row r="77" spans="1:5">
      <c r="A77">
        <v>198</v>
      </c>
      <c r="B77" t="s">
        <v>273</v>
      </c>
      <c r="C77" t="s">
        <v>274</v>
      </c>
      <c r="D77" s="11">
        <v>141.63</v>
      </c>
      <c r="E77">
        <v>76</v>
      </c>
    </row>
    <row r="78" spans="1:5">
      <c r="A78">
        <v>494</v>
      </c>
      <c r="B78" t="s">
        <v>557</v>
      </c>
      <c r="C78" t="s">
        <v>558</v>
      </c>
      <c r="D78" s="11">
        <v>140.69</v>
      </c>
      <c r="E78">
        <v>77</v>
      </c>
    </row>
    <row r="79" spans="1:5">
      <c r="A79">
        <v>242</v>
      </c>
      <c r="B79" t="s">
        <v>309</v>
      </c>
      <c r="C79" t="s">
        <v>310</v>
      </c>
      <c r="D79" s="11">
        <v>140.68</v>
      </c>
      <c r="E79">
        <v>78</v>
      </c>
    </row>
    <row r="80" spans="1:5">
      <c r="A80">
        <v>29</v>
      </c>
      <c r="B80" t="s">
        <v>97</v>
      </c>
      <c r="C80" t="s">
        <v>98</v>
      </c>
      <c r="D80" s="11">
        <v>140.63999999999999</v>
      </c>
      <c r="E80">
        <v>79</v>
      </c>
    </row>
    <row r="81" spans="1:5">
      <c r="A81">
        <v>146</v>
      </c>
      <c r="B81" t="s">
        <v>225</v>
      </c>
      <c r="C81" t="s">
        <v>226</v>
      </c>
      <c r="D81" s="11">
        <v>139.71</v>
      </c>
      <c r="E81">
        <v>80</v>
      </c>
    </row>
    <row r="82" spans="1:5">
      <c r="A82">
        <v>467</v>
      </c>
      <c r="B82" t="s">
        <v>532</v>
      </c>
      <c r="C82" t="s">
        <v>533</v>
      </c>
      <c r="D82" s="11">
        <v>139.71</v>
      </c>
      <c r="E82">
        <v>80</v>
      </c>
    </row>
    <row r="83" spans="1:5">
      <c r="A83">
        <v>404</v>
      </c>
      <c r="B83" t="s">
        <v>298</v>
      </c>
      <c r="C83" t="s">
        <v>480</v>
      </c>
      <c r="D83" s="11">
        <v>139.69999999999999</v>
      </c>
      <c r="E83">
        <v>82</v>
      </c>
    </row>
    <row r="84" spans="1:5">
      <c r="A84">
        <v>484</v>
      </c>
      <c r="B84" t="s">
        <v>551</v>
      </c>
      <c r="C84" t="s">
        <v>552</v>
      </c>
      <c r="D84" s="11">
        <v>139.69999999999999</v>
      </c>
      <c r="E84">
        <v>82</v>
      </c>
    </row>
    <row r="85" spans="1:5">
      <c r="A85">
        <v>114</v>
      </c>
      <c r="B85" t="s">
        <v>185</v>
      </c>
      <c r="C85" t="s">
        <v>186</v>
      </c>
      <c r="D85" s="11">
        <v>139.66999999999999</v>
      </c>
      <c r="E85">
        <v>84</v>
      </c>
    </row>
    <row r="86" spans="1:5">
      <c r="A86">
        <v>576</v>
      </c>
      <c r="B86" t="s">
        <v>128</v>
      </c>
      <c r="C86" t="s">
        <v>618</v>
      </c>
      <c r="D86" s="11">
        <v>139.66</v>
      </c>
      <c r="E86">
        <v>85</v>
      </c>
    </row>
    <row r="87" spans="1:5">
      <c r="A87">
        <v>349</v>
      </c>
      <c r="B87" t="s">
        <v>429</v>
      </c>
      <c r="C87" t="s">
        <v>430</v>
      </c>
      <c r="D87" s="11">
        <v>138.71</v>
      </c>
      <c r="E87">
        <v>86</v>
      </c>
    </row>
    <row r="88" spans="1:5">
      <c r="A88">
        <v>482</v>
      </c>
      <c r="B88" t="s">
        <v>549</v>
      </c>
      <c r="C88" t="s">
        <v>550</v>
      </c>
      <c r="D88" s="11">
        <v>138.71</v>
      </c>
      <c r="E88">
        <v>86</v>
      </c>
    </row>
    <row r="89" spans="1:5">
      <c r="A89">
        <v>306</v>
      </c>
      <c r="B89" t="s">
        <v>385</v>
      </c>
      <c r="C89" t="s">
        <v>386</v>
      </c>
      <c r="D89" s="11">
        <v>138.68</v>
      </c>
      <c r="E89">
        <v>88</v>
      </c>
    </row>
    <row r="90" spans="1:5">
      <c r="A90">
        <v>51</v>
      </c>
      <c r="B90" t="s">
        <v>123</v>
      </c>
      <c r="C90" t="s">
        <v>124</v>
      </c>
      <c r="D90" s="11">
        <v>138.66999999999999</v>
      </c>
      <c r="E90">
        <v>89</v>
      </c>
    </row>
    <row r="91" spans="1:5">
      <c r="A91">
        <v>502</v>
      </c>
      <c r="B91" t="s">
        <v>566</v>
      </c>
      <c r="C91" t="s">
        <v>567</v>
      </c>
      <c r="D91" s="11">
        <v>138.66</v>
      </c>
      <c r="E91">
        <v>90</v>
      </c>
    </row>
    <row r="92" spans="1:5">
      <c r="A92">
        <v>80</v>
      </c>
      <c r="B92" t="s">
        <v>155</v>
      </c>
      <c r="C92" t="s">
        <v>156</v>
      </c>
      <c r="D92" s="11">
        <v>137.69999999999999</v>
      </c>
      <c r="E92">
        <v>91</v>
      </c>
    </row>
    <row r="93" spans="1:5">
      <c r="A93">
        <v>210</v>
      </c>
      <c r="B93" t="s">
        <v>285</v>
      </c>
      <c r="C93" t="s">
        <v>286</v>
      </c>
      <c r="D93" s="11">
        <v>137.69</v>
      </c>
      <c r="E93">
        <v>92</v>
      </c>
    </row>
    <row r="94" spans="1:5">
      <c r="A94">
        <v>300</v>
      </c>
      <c r="B94" t="s">
        <v>381</v>
      </c>
      <c r="C94" t="s">
        <v>382</v>
      </c>
      <c r="D94" s="11">
        <v>137.69</v>
      </c>
      <c r="E94">
        <v>92</v>
      </c>
    </row>
    <row r="95" spans="1:5">
      <c r="A95">
        <v>102</v>
      </c>
      <c r="B95" t="s">
        <v>173</v>
      </c>
      <c r="C95" t="s">
        <v>174</v>
      </c>
      <c r="D95" s="11">
        <v>137.66999999999999</v>
      </c>
      <c r="E95">
        <v>94</v>
      </c>
    </row>
    <row r="96" spans="1:5">
      <c r="A96">
        <v>207</v>
      </c>
      <c r="B96" t="s">
        <v>281</v>
      </c>
      <c r="C96" t="s">
        <v>282</v>
      </c>
      <c r="D96" s="11">
        <v>137.66</v>
      </c>
      <c r="E96">
        <v>95</v>
      </c>
    </row>
    <row r="97" spans="1:5">
      <c r="A97">
        <v>200</v>
      </c>
      <c r="B97" t="s">
        <v>275</v>
      </c>
      <c r="C97" t="s">
        <v>276</v>
      </c>
      <c r="D97" s="11">
        <v>136.72999999999999</v>
      </c>
      <c r="E97">
        <v>96</v>
      </c>
    </row>
    <row r="98" spans="1:5">
      <c r="A98">
        <v>380</v>
      </c>
      <c r="B98" t="s">
        <v>457</v>
      </c>
      <c r="C98" t="s">
        <v>458</v>
      </c>
      <c r="D98" s="11">
        <v>136.63999999999999</v>
      </c>
      <c r="E98">
        <v>97</v>
      </c>
    </row>
    <row r="99" spans="1:5">
      <c r="A99">
        <v>3</v>
      </c>
      <c r="B99" t="s">
        <v>665</v>
      </c>
      <c r="C99" t="s">
        <v>666</v>
      </c>
      <c r="D99" s="11">
        <v>135.74</v>
      </c>
      <c r="E99">
        <v>98</v>
      </c>
    </row>
    <row r="100" spans="1:5">
      <c r="A100">
        <v>285</v>
      </c>
      <c r="B100" t="s">
        <v>667</v>
      </c>
      <c r="C100" t="s">
        <v>668</v>
      </c>
      <c r="D100" s="11">
        <v>135.74</v>
      </c>
      <c r="E100">
        <v>98</v>
      </c>
    </row>
    <row r="101" spans="1:5">
      <c r="A101">
        <v>558</v>
      </c>
      <c r="B101" t="s">
        <v>596</v>
      </c>
      <c r="C101" t="s">
        <v>597</v>
      </c>
      <c r="D101" s="11">
        <v>135.72</v>
      </c>
      <c r="E101">
        <v>100</v>
      </c>
    </row>
    <row r="102" spans="1:5">
      <c r="A102">
        <v>448</v>
      </c>
      <c r="B102" t="s">
        <v>517</v>
      </c>
      <c r="C102" t="s">
        <v>518</v>
      </c>
      <c r="D102" s="11">
        <v>135.71</v>
      </c>
      <c r="E102">
        <v>101</v>
      </c>
    </row>
    <row r="103" spans="1:5">
      <c r="A103">
        <v>56</v>
      </c>
      <c r="B103" t="s">
        <v>131</v>
      </c>
      <c r="C103" t="s">
        <v>132</v>
      </c>
      <c r="D103" s="11">
        <v>135.69999999999999</v>
      </c>
      <c r="E103">
        <v>102</v>
      </c>
    </row>
    <row r="104" spans="1:5">
      <c r="A104">
        <v>334</v>
      </c>
      <c r="B104" t="s">
        <v>409</v>
      </c>
      <c r="C104" t="s">
        <v>410</v>
      </c>
      <c r="D104" s="11">
        <v>135.69999999999999</v>
      </c>
      <c r="E104">
        <v>102</v>
      </c>
    </row>
    <row r="105" spans="1:5">
      <c r="A105">
        <v>279</v>
      </c>
      <c r="B105" t="s">
        <v>352</v>
      </c>
      <c r="C105" t="s">
        <v>353</v>
      </c>
      <c r="D105" s="11">
        <v>135.69</v>
      </c>
      <c r="E105">
        <v>104</v>
      </c>
    </row>
    <row r="106" spans="1:5">
      <c r="A106">
        <v>125</v>
      </c>
      <c r="B106" t="s">
        <v>197</v>
      </c>
      <c r="C106" t="s">
        <v>198</v>
      </c>
      <c r="D106" s="11">
        <v>135.68</v>
      </c>
      <c r="E106">
        <v>105</v>
      </c>
    </row>
    <row r="107" spans="1:5">
      <c r="A107">
        <v>535</v>
      </c>
      <c r="B107" t="s">
        <v>590</v>
      </c>
      <c r="C107" t="s">
        <v>591</v>
      </c>
      <c r="D107" s="11">
        <v>135.68</v>
      </c>
      <c r="E107">
        <v>105</v>
      </c>
    </row>
    <row r="108" spans="1:5">
      <c r="A108">
        <v>168</v>
      </c>
      <c r="B108" t="s">
        <v>249</v>
      </c>
      <c r="C108" t="s">
        <v>250</v>
      </c>
      <c r="D108" s="11">
        <v>135.66</v>
      </c>
      <c r="E108">
        <v>107</v>
      </c>
    </row>
    <row r="109" spans="1:5">
      <c r="A109">
        <v>591</v>
      </c>
      <c r="B109" t="s">
        <v>630</v>
      </c>
      <c r="C109" t="s">
        <v>631</v>
      </c>
      <c r="D109" s="11">
        <v>134.72999999999999</v>
      </c>
      <c r="E109">
        <v>108</v>
      </c>
    </row>
    <row r="110" spans="1:5">
      <c r="A110">
        <v>307</v>
      </c>
      <c r="B110" t="s">
        <v>387</v>
      </c>
      <c r="C110" t="s">
        <v>299</v>
      </c>
      <c r="D110" s="11">
        <v>134.69999999999999</v>
      </c>
      <c r="E110">
        <v>109</v>
      </c>
    </row>
    <row r="111" spans="1:5">
      <c r="A111">
        <v>15</v>
      </c>
      <c r="B111" t="s">
        <v>79</v>
      </c>
      <c r="C111" t="s">
        <v>80</v>
      </c>
      <c r="D111" s="11">
        <v>134.68</v>
      </c>
      <c r="E111">
        <v>110</v>
      </c>
    </row>
    <row r="112" spans="1:5">
      <c r="A112">
        <v>89</v>
      </c>
      <c r="B112" t="s">
        <v>163</v>
      </c>
      <c r="C112" t="s">
        <v>164</v>
      </c>
      <c r="D112" s="11">
        <v>134.68</v>
      </c>
      <c r="E112">
        <v>110</v>
      </c>
    </row>
    <row r="113" spans="1:5">
      <c r="A113">
        <v>520</v>
      </c>
      <c r="B113" t="s">
        <v>578</v>
      </c>
      <c r="C113" t="s">
        <v>579</v>
      </c>
      <c r="D113" s="11">
        <v>134.68</v>
      </c>
      <c r="E113">
        <v>110</v>
      </c>
    </row>
    <row r="114" spans="1:5">
      <c r="A114">
        <v>569</v>
      </c>
      <c r="B114" t="s">
        <v>610</v>
      </c>
      <c r="C114" t="s">
        <v>611</v>
      </c>
      <c r="D114" s="11">
        <v>134.68</v>
      </c>
      <c r="E114">
        <v>110</v>
      </c>
    </row>
    <row r="115" spans="1:5">
      <c r="A115">
        <v>438</v>
      </c>
      <c r="B115" t="s">
        <v>504</v>
      </c>
      <c r="C115" t="s">
        <v>505</v>
      </c>
      <c r="D115" s="11">
        <v>134.66999999999999</v>
      </c>
      <c r="E115">
        <v>114</v>
      </c>
    </row>
    <row r="116" spans="1:5">
      <c r="A116">
        <v>473</v>
      </c>
      <c r="B116" t="s">
        <v>543</v>
      </c>
      <c r="C116" t="s">
        <v>544</v>
      </c>
      <c r="D116" s="11">
        <v>134.66</v>
      </c>
      <c r="E116">
        <v>115</v>
      </c>
    </row>
    <row r="117" spans="1:5">
      <c r="A117">
        <v>433</v>
      </c>
      <c r="B117" t="s">
        <v>669</v>
      </c>
      <c r="C117" t="s">
        <v>670</v>
      </c>
      <c r="D117" s="11">
        <v>133.75</v>
      </c>
      <c r="E117">
        <v>116</v>
      </c>
    </row>
    <row r="118" spans="1:5">
      <c r="A118">
        <v>59</v>
      </c>
      <c r="B118" t="s">
        <v>137</v>
      </c>
      <c r="C118" t="s">
        <v>138</v>
      </c>
      <c r="D118" s="11">
        <v>133.72999999999999</v>
      </c>
      <c r="E118">
        <v>117</v>
      </c>
    </row>
    <row r="119" spans="1:5">
      <c r="A119">
        <v>92</v>
      </c>
      <c r="B119" t="s">
        <v>169</v>
      </c>
      <c r="C119" t="s">
        <v>170</v>
      </c>
      <c r="D119" s="11">
        <v>133.72</v>
      </c>
      <c r="E119">
        <v>118</v>
      </c>
    </row>
    <row r="120" spans="1:5">
      <c r="A120">
        <v>504</v>
      </c>
      <c r="B120" t="s">
        <v>570</v>
      </c>
      <c r="C120" t="s">
        <v>571</v>
      </c>
      <c r="D120" s="11">
        <v>133.72</v>
      </c>
      <c r="E120">
        <v>118</v>
      </c>
    </row>
    <row r="121" spans="1:5">
      <c r="A121">
        <v>179</v>
      </c>
      <c r="B121" t="s">
        <v>259</v>
      </c>
      <c r="C121" t="s">
        <v>260</v>
      </c>
      <c r="D121" s="11">
        <v>133.71</v>
      </c>
      <c r="E121">
        <v>120</v>
      </c>
    </row>
    <row r="122" spans="1:5">
      <c r="A122">
        <v>265</v>
      </c>
      <c r="B122" t="s">
        <v>333</v>
      </c>
      <c r="C122" t="s">
        <v>317</v>
      </c>
      <c r="D122" s="11">
        <v>133.71</v>
      </c>
      <c r="E122">
        <v>120</v>
      </c>
    </row>
    <row r="123" spans="1:5">
      <c r="A123">
        <v>112</v>
      </c>
      <c r="B123" t="s">
        <v>181</v>
      </c>
      <c r="C123" t="s">
        <v>182</v>
      </c>
      <c r="D123" s="11">
        <v>133.69999999999999</v>
      </c>
      <c r="E123">
        <v>122</v>
      </c>
    </row>
    <row r="124" spans="1:5">
      <c r="A124">
        <v>221</v>
      </c>
      <c r="B124" t="s">
        <v>295</v>
      </c>
      <c r="C124" t="s">
        <v>296</v>
      </c>
      <c r="D124" s="11">
        <v>132.72</v>
      </c>
      <c r="E124">
        <v>123</v>
      </c>
    </row>
    <row r="125" spans="1:5">
      <c r="A125">
        <v>316</v>
      </c>
      <c r="B125" t="s">
        <v>391</v>
      </c>
      <c r="C125" t="s">
        <v>392</v>
      </c>
      <c r="D125" s="11">
        <v>132.71</v>
      </c>
      <c r="E125">
        <v>124</v>
      </c>
    </row>
    <row r="126" spans="1:5">
      <c r="A126">
        <v>108</v>
      </c>
      <c r="B126" t="s">
        <v>179</v>
      </c>
      <c r="C126" t="s">
        <v>180</v>
      </c>
      <c r="D126" s="11">
        <v>132.69999999999999</v>
      </c>
      <c r="E126">
        <v>125</v>
      </c>
    </row>
    <row r="127" spans="1:5">
      <c r="A127">
        <v>319</v>
      </c>
      <c r="B127" t="s">
        <v>395</v>
      </c>
      <c r="C127" t="s">
        <v>396</v>
      </c>
      <c r="D127" s="11">
        <v>132.69999999999999</v>
      </c>
      <c r="E127">
        <v>125</v>
      </c>
    </row>
    <row r="128" spans="1:5">
      <c r="A128">
        <v>560</v>
      </c>
      <c r="B128" t="s">
        <v>600</v>
      </c>
      <c r="C128" t="s">
        <v>601</v>
      </c>
      <c r="D128" s="11">
        <v>132.69999999999999</v>
      </c>
      <c r="E128">
        <v>125</v>
      </c>
    </row>
    <row r="129" spans="1:5">
      <c r="A129">
        <v>245</v>
      </c>
      <c r="B129" t="s">
        <v>313</v>
      </c>
      <c r="C129" t="s">
        <v>314</v>
      </c>
      <c r="D129" s="11">
        <v>132.68</v>
      </c>
      <c r="E129">
        <v>128</v>
      </c>
    </row>
    <row r="130" spans="1:5">
      <c r="A130">
        <v>13</v>
      </c>
      <c r="B130" t="s">
        <v>75</v>
      </c>
      <c r="C130" t="s">
        <v>76</v>
      </c>
      <c r="D130" s="11">
        <v>131.72999999999999</v>
      </c>
      <c r="E130">
        <v>129</v>
      </c>
    </row>
    <row r="131" spans="1:5">
      <c r="A131">
        <v>299</v>
      </c>
      <c r="B131" t="s">
        <v>144</v>
      </c>
      <c r="C131" t="s">
        <v>380</v>
      </c>
      <c r="D131" s="11">
        <v>131.69999999999999</v>
      </c>
      <c r="E131">
        <v>130</v>
      </c>
    </row>
    <row r="132" spans="1:5">
      <c r="A132">
        <v>314</v>
      </c>
      <c r="B132" t="s">
        <v>300</v>
      </c>
      <c r="C132" t="s">
        <v>390</v>
      </c>
      <c r="D132" s="11">
        <v>131.66999999999999</v>
      </c>
      <c r="E132">
        <v>131</v>
      </c>
    </row>
    <row r="133" spans="1:5">
      <c r="A133">
        <v>82</v>
      </c>
      <c r="B133" t="s">
        <v>671</v>
      </c>
      <c r="C133" t="s">
        <v>672</v>
      </c>
      <c r="D133" s="11">
        <v>130.74</v>
      </c>
      <c r="E133">
        <v>132</v>
      </c>
    </row>
    <row r="134" spans="1:5">
      <c r="A134">
        <v>594</v>
      </c>
      <c r="B134" t="s">
        <v>634</v>
      </c>
      <c r="C134" t="s">
        <v>635</v>
      </c>
      <c r="D134" s="11">
        <v>130.72999999999999</v>
      </c>
      <c r="E134">
        <v>133</v>
      </c>
    </row>
    <row r="135" spans="1:5">
      <c r="A135">
        <v>49</v>
      </c>
      <c r="B135" t="s">
        <v>119</v>
      </c>
      <c r="C135" t="s">
        <v>120</v>
      </c>
      <c r="D135" s="11">
        <v>130.72</v>
      </c>
      <c r="E135">
        <v>134</v>
      </c>
    </row>
    <row r="136" spans="1:5">
      <c r="A136">
        <v>154</v>
      </c>
      <c r="B136" t="s">
        <v>233</v>
      </c>
      <c r="C136" t="s">
        <v>234</v>
      </c>
      <c r="D136" s="11">
        <v>130.69999999999999</v>
      </c>
      <c r="E136">
        <v>135</v>
      </c>
    </row>
    <row r="137" spans="1:5">
      <c r="A137">
        <v>141</v>
      </c>
      <c r="B137" t="s">
        <v>219</v>
      </c>
      <c r="C137" t="s">
        <v>220</v>
      </c>
      <c r="D137" s="11">
        <v>130.68</v>
      </c>
      <c r="E137">
        <v>136</v>
      </c>
    </row>
    <row r="138" spans="1:5">
      <c r="A138">
        <v>342</v>
      </c>
      <c r="B138" t="s">
        <v>421</v>
      </c>
      <c r="C138" t="s">
        <v>422</v>
      </c>
      <c r="D138" s="11">
        <v>130.68</v>
      </c>
      <c r="E138">
        <v>136</v>
      </c>
    </row>
    <row r="139" spans="1:5">
      <c r="A139">
        <v>497</v>
      </c>
      <c r="B139" t="s">
        <v>304</v>
      </c>
      <c r="C139" t="s">
        <v>559</v>
      </c>
      <c r="D139" s="11">
        <v>129.72</v>
      </c>
      <c r="E139">
        <v>138</v>
      </c>
    </row>
    <row r="140" spans="1:5">
      <c r="A140">
        <v>589</v>
      </c>
      <c r="B140" t="s">
        <v>179</v>
      </c>
      <c r="C140" t="s">
        <v>629</v>
      </c>
      <c r="D140" s="11">
        <v>129.72</v>
      </c>
      <c r="E140">
        <v>138</v>
      </c>
    </row>
    <row r="141" spans="1:5">
      <c r="A141">
        <v>71</v>
      </c>
      <c r="B141" t="s">
        <v>143</v>
      </c>
      <c r="C141" t="s">
        <v>144</v>
      </c>
      <c r="D141" s="11">
        <v>129.69999999999999</v>
      </c>
      <c r="E141">
        <v>140</v>
      </c>
    </row>
    <row r="142" spans="1:5">
      <c r="A142">
        <v>269</v>
      </c>
      <c r="B142" t="s">
        <v>340</v>
      </c>
      <c r="C142" t="s">
        <v>341</v>
      </c>
      <c r="D142" s="11">
        <v>129.69999999999999</v>
      </c>
      <c r="E142">
        <v>140</v>
      </c>
    </row>
    <row r="143" spans="1:5">
      <c r="A143">
        <v>296</v>
      </c>
      <c r="B143" t="s">
        <v>376</v>
      </c>
      <c r="C143" t="s">
        <v>377</v>
      </c>
      <c r="D143" s="11">
        <v>129.69999999999999</v>
      </c>
      <c r="E143">
        <v>140</v>
      </c>
    </row>
    <row r="144" spans="1:5">
      <c r="A144">
        <v>584</v>
      </c>
      <c r="B144" t="s">
        <v>626</v>
      </c>
      <c r="C144" t="s">
        <v>627</v>
      </c>
      <c r="D144" s="11">
        <v>129.69999999999999</v>
      </c>
      <c r="E144">
        <v>140</v>
      </c>
    </row>
    <row r="145" spans="1:5">
      <c r="A145">
        <v>35</v>
      </c>
      <c r="B145" t="s">
        <v>103</v>
      </c>
      <c r="C145" t="s">
        <v>104</v>
      </c>
      <c r="D145" s="11">
        <v>129.68</v>
      </c>
      <c r="E145">
        <v>144</v>
      </c>
    </row>
    <row r="146" spans="1:5">
      <c r="A146">
        <v>244</v>
      </c>
      <c r="B146" t="s">
        <v>311</v>
      </c>
      <c r="C146" t="s">
        <v>312</v>
      </c>
      <c r="D146" s="11">
        <v>129.68</v>
      </c>
      <c r="E146">
        <v>144</v>
      </c>
    </row>
    <row r="147" spans="1:5">
      <c r="A147">
        <v>354</v>
      </c>
      <c r="B147" t="s">
        <v>431</v>
      </c>
      <c r="C147" t="s">
        <v>432</v>
      </c>
      <c r="D147" s="11">
        <v>129.63999999999999</v>
      </c>
      <c r="E147">
        <v>146</v>
      </c>
    </row>
    <row r="148" spans="1:5">
      <c r="A148">
        <v>2</v>
      </c>
      <c r="B148" t="s">
        <v>65</v>
      </c>
      <c r="C148" t="s">
        <v>66</v>
      </c>
      <c r="D148" s="11">
        <v>128.72999999999999</v>
      </c>
      <c r="E148">
        <v>147</v>
      </c>
    </row>
    <row r="149" spans="1:5">
      <c r="A149">
        <v>434</v>
      </c>
      <c r="B149" t="s">
        <v>500</v>
      </c>
      <c r="C149" t="s">
        <v>501</v>
      </c>
      <c r="D149" s="11">
        <v>128.72999999999999</v>
      </c>
      <c r="E149">
        <v>147</v>
      </c>
    </row>
    <row r="150" spans="1:5">
      <c r="A150">
        <v>322</v>
      </c>
      <c r="B150" t="s">
        <v>397</v>
      </c>
      <c r="C150" t="s">
        <v>398</v>
      </c>
      <c r="D150" s="11">
        <v>128.72</v>
      </c>
      <c r="E150">
        <v>149</v>
      </c>
    </row>
    <row r="151" spans="1:5">
      <c r="A151">
        <v>54</v>
      </c>
      <c r="B151" t="s">
        <v>129</v>
      </c>
      <c r="C151" t="s">
        <v>130</v>
      </c>
      <c r="D151" s="11">
        <v>128.71</v>
      </c>
      <c r="E151">
        <v>150</v>
      </c>
    </row>
    <row r="152" spans="1:5">
      <c r="A152">
        <v>131</v>
      </c>
      <c r="B152" t="s">
        <v>205</v>
      </c>
      <c r="C152" t="s">
        <v>206</v>
      </c>
      <c r="D152" s="11">
        <v>128.69999999999999</v>
      </c>
      <c r="E152">
        <v>151</v>
      </c>
    </row>
    <row r="153" spans="1:5">
      <c r="A153">
        <v>297</v>
      </c>
      <c r="B153" t="s">
        <v>378</v>
      </c>
      <c r="C153" t="s">
        <v>379</v>
      </c>
      <c r="D153" s="11">
        <v>128.66999999999999</v>
      </c>
      <c r="E153">
        <v>152</v>
      </c>
    </row>
    <row r="154" spans="1:5">
      <c r="A154">
        <v>451</v>
      </c>
      <c r="B154" t="s">
        <v>519</v>
      </c>
      <c r="C154" t="s">
        <v>520</v>
      </c>
      <c r="D154" s="11">
        <v>128.66999999999999</v>
      </c>
      <c r="E154">
        <v>152</v>
      </c>
    </row>
    <row r="155" spans="1:5">
      <c r="A155">
        <v>508</v>
      </c>
      <c r="B155" t="s">
        <v>673</v>
      </c>
      <c r="C155" t="s">
        <v>674</v>
      </c>
      <c r="D155" s="11">
        <v>127.75</v>
      </c>
      <c r="E155">
        <v>154</v>
      </c>
    </row>
    <row r="156" spans="1:5">
      <c r="A156">
        <v>45</v>
      </c>
      <c r="B156" t="s">
        <v>115</v>
      </c>
      <c r="C156" t="s">
        <v>116</v>
      </c>
      <c r="D156" s="11">
        <v>127.73</v>
      </c>
      <c r="E156">
        <v>155</v>
      </c>
    </row>
    <row r="157" spans="1:5">
      <c r="A157">
        <v>32</v>
      </c>
      <c r="B157" t="s">
        <v>101</v>
      </c>
      <c r="C157" t="s">
        <v>102</v>
      </c>
      <c r="D157" s="11">
        <v>127.71</v>
      </c>
      <c r="E157">
        <v>156</v>
      </c>
    </row>
    <row r="158" spans="1:5">
      <c r="A158">
        <v>253</v>
      </c>
      <c r="B158" t="s">
        <v>317</v>
      </c>
      <c r="C158" t="s">
        <v>318</v>
      </c>
      <c r="D158" s="11">
        <v>127.71</v>
      </c>
      <c r="E158">
        <v>156</v>
      </c>
    </row>
    <row r="159" spans="1:5">
      <c r="A159">
        <v>302</v>
      </c>
      <c r="B159" t="s">
        <v>383</v>
      </c>
      <c r="C159" t="s">
        <v>384</v>
      </c>
      <c r="D159" s="11">
        <v>127.71</v>
      </c>
      <c r="E159">
        <v>156</v>
      </c>
    </row>
    <row r="160" spans="1:5">
      <c r="A160">
        <v>339</v>
      </c>
      <c r="B160" t="s">
        <v>417</v>
      </c>
      <c r="C160" t="s">
        <v>418</v>
      </c>
      <c r="D160" s="11">
        <v>127.7</v>
      </c>
      <c r="E160">
        <v>159</v>
      </c>
    </row>
    <row r="161" spans="1:5">
      <c r="A161">
        <v>128</v>
      </c>
      <c r="B161" t="s">
        <v>201</v>
      </c>
      <c r="C161" t="s">
        <v>202</v>
      </c>
      <c r="D161" s="11">
        <v>127.68</v>
      </c>
      <c r="E161">
        <v>160</v>
      </c>
    </row>
    <row r="162" spans="1:5">
      <c r="A162">
        <v>329</v>
      </c>
      <c r="B162" t="s">
        <v>401</v>
      </c>
      <c r="C162" t="s">
        <v>402</v>
      </c>
      <c r="D162" s="11">
        <v>127.68</v>
      </c>
      <c r="E162">
        <v>160</v>
      </c>
    </row>
    <row r="163" spans="1:5">
      <c r="A163">
        <v>38</v>
      </c>
      <c r="B163" t="s">
        <v>107</v>
      </c>
      <c r="C163" t="s">
        <v>108</v>
      </c>
      <c r="D163" s="11">
        <v>127.66</v>
      </c>
      <c r="E163">
        <v>162</v>
      </c>
    </row>
    <row r="164" spans="1:5">
      <c r="A164">
        <v>147</v>
      </c>
      <c r="B164" t="s">
        <v>227</v>
      </c>
      <c r="C164" t="s">
        <v>228</v>
      </c>
      <c r="D164" s="11">
        <v>127.66</v>
      </c>
      <c r="E164">
        <v>162</v>
      </c>
    </row>
    <row r="165" spans="1:5">
      <c r="A165">
        <v>206</v>
      </c>
      <c r="B165" t="s">
        <v>279</v>
      </c>
      <c r="C165" t="s">
        <v>280</v>
      </c>
      <c r="D165" s="11">
        <v>126.73</v>
      </c>
      <c r="E165">
        <v>164</v>
      </c>
    </row>
    <row r="166" spans="1:5">
      <c r="A166">
        <v>426</v>
      </c>
      <c r="B166" t="s">
        <v>262</v>
      </c>
      <c r="C166" t="s">
        <v>499</v>
      </c>
      <c r="D166" s="11">
        <v>126.73</v>
      </c>
      <c r="E166">
        <v>164</v>
      </c>
    </row>
    <row r="167" spans="1:5">
      <c r="A167">
        <v>284</v>
      </c>
      <c r="B167" t="s">
        <v>360</v>
      </c>
      <c r="C167" t="s">
        <v>361</v>
      </c>
      <c r="D167" s="11">
        <v>126.72</v>
      </c>
      <c r="E167">
        <v>166</v>
      </c>
    </row>
    <row r="168" spans="1:5">
      <c r="A168">
        <v>515</v>
      </c>
      <c r="B168" t="s">
        <v>576</v>
      </c>
      <c r="C168" t="s">
        <v>577</v>
      </c>
      <c r="D168" s="11">
        <v>126.72</v>
      </c>
      <c r="E168">
        <v>166</v>
      </c>
    </row>
    <row r="169" spans="1:5">
      <c r="A169">
        <v>565</v>
      </c>
      <c r="B169" t="s">
        <v>606</v>
      </c>
      <c r="C169" t="s">
        <v>607</v>
      </c>
      <c r="D169" s="11">
        <v>126.71</v>
      </c>
      <c r="E169">
        <v>168</v>
      </c>
    </row>
    <row r="170" spans="1:5">
      <c r="A170">
        <v>575</v>
      </c>
      <c r="B170" t="s">
        <v>616</v>
      </c>
      <c r="C170" t="s">
        <v>617</v>
      </c>
      <c r="D170" s="11">
        <v>126.71</v>
      </c>
      <c r="E170">
        <v>168</v>
      </c>
    </row>
    <row r="171" spans="1:5">
      <c r="A171">
        <v>107</v>
      </c>
      <c r="B171" t="s">
        <v>177</v>
      </c>
      <c r="C171" t="s">
        <v>178</v>
      </c>
      <c r="D171" s="11">
        <v>126.7</v>
      </c>
      <c r="E171">
        <v>170</v>
      </c>
    </row>
    <row r="172" spans="1:5">
      <c r="A172">
        <v>27</v>
      </c>
      <c r="B172" t="s">
        <v>93</v>
      </c>
      <c r="C172" t="s">
        <v>94</v>
      </c>
      <c r="D172" s="11">
        <v>126.69</v>
      </c>
      <c r="E172">
        <v>171</v>
      </c>
    </row>
    <row r="173" spans="1:5">
      <c r="A173">
        <v>122</v>
      </c>
      <c r="B173" t="s">
        <v>195</v>
      </c>
      <c r="C173" t="s">
        <v>196</v>
      </c>
      <c r="D173" s="11">
        <v>126.68</v>
      </c>
      <c r="E173">
        <v>172</v>
      </c>
    </row>
    <row r="174" spans="1:5">
      <c r="A174">
        <v>158</v>
      </c>
      <c r="B174" t="s">
        <v>237</v>
      </c>
      <c r="C174" t="s">
        <v>238</v>
      </c>
      <c r="D174" s="11">
        <v>126.68</v>
      </c>
      <c r="E174">
        <v>172</v>
      </c>
    </row>
    <row r="175" spans="1:5">
      <c r="A175">
        <v>19</v>
      </c>
      <c r="B175" t="s">
        <v>675</v>
      </c>
      <c r="C175" t="s">
        <v>676</v>
      </c>
      <c r="D175" s="11">
        <v>125.76</v>
      </c>
      <c r="E175">
        <v>174</v>
      </c>
    </row>
    <row r="176" spans="1:5">
      <c r="A176">
        <v>389</v>
      </c>
      <c r="B176" t="s">
        <v>677</v>
      </c>
      <c r="C176" t="s">
        <v>678</v>
      </c>
      <c r="D176" s="11">
        <v>124.74</v>
      </c>
      <c r="E176">
        <v>175</v>
      </c>
    </row>
    <row r="177" spans="1:5">
      <c r="A177">
        <v>491</v>
      </c>
      <c r="B177" t="s">
        <v>555</v>
      </c>
      <c r="C177" t="s">
        <v>556</v>
      </c>
      <c r="D177" s="11">
        <v>124.73</v>
      </c>
      <c r="E177">
        <v>176</v>
      </c>
    </row>
    <row r="178" spans="1:5">
      <c r="A178">
        <v>400</v>
      </c>
      <c r="B178" t="s">
        <v>476</v>
      </c>
      <c r="C178" t="s">
        <v>477</v>
      </c>
      <c r="D178" s="11">
        <v>124.72</v>
      </c>
      <c r="E178">
        <v>177</v>
      </c>
    </row>
    <row r="179" spans="1:5">
      <c r="A179">
        <v>388</v>
      </c>
      <c r="B179" t="s">
        <v>464</v>
      </c>
      <c r="C179" t="s">
        <v>465</v>
      </c>
      <c r="D179" s="11">
        <v>124.7</v>
      </c>
      <c r="E179">
        <v>178</v>
      </c>
    </row>
    <row r="180" spans="1:5">
      <c r="A180">
        <v>230</v>
      </c>
      <c r="B180" t="s">
        <v>299</v>
      </c>
      <c r="C180" t="s">
        <v>300</v>
      </c>
      <c r="D180" s="11">
        <v>124.67</v>
      </c>
      <c r="E180">
        <v>179</v>
      </c>
    </row>
    <row r="181" spans="1:5">
      <c r="A181">
        <v>129</v>
      </c>
      <c r="B181" t="s">
        <v>203</v>
      </c>
      <c r="C181" t="s">
        <v>204</v>
      </c>
      <c r="D181" s="11">
        <v>124.66</v>
      </c>
      <c r="E181">
        <v>180</v>
      </c>
    </row>
    <row r="182" spans="1:5">
      <c r="A182">
        <v>166</v>
      </c>
      <c r="B182" t="s">
        <v>245</v>
      </c>
      <c r="C182" t="s">
        <v>246</v>
      </c>
      <c r="D182" s="11">
        <v>123.72</v>
      </c>
      <c r="E182">
        <v>181</v>
      </c>
    </row>
    <row r="183" spans="1:5">
      <c r="A183">
        <v>268</v>
      </c>
      <c r="B183" t="s">
        <v>338</v>
      </c>
      <c r="C183" t="s">
        <v>339</v>
      </c>
      <c r="D183" s="11">
        <v>123.71</v>
      </c>
      <c r="E183">
        <v>182</v>
      </c>
    </row>
    <row r="184" spans="1:5">
      <c r="A184">
        <v>499</v>
      </c>
      <c r="B184" t="s">
        <v>562</v>
      </c>
      <c r="C184" t="s">
        <v>563</v>
      </c>
      <c r="D184" s="11">
        <v>123.7</v>
      </c>
      <c r="E184">
        <v>183</v>
      </c>
    </row>
    <row r="185" spans="1:5">
      <c r="A185">
        <v>30</v>
      </c>
      <c r="B185" t="s">
        <v>99</v>
      </c>
      <c r="C185" t="s">
        <v>100</v>
      </c>
      <c r="D185" s="11">
        <v>123.66</v>
      </c>
      <c r="E185">
        <v>184</v>
      </c>
    </row>
    <row r="186" spans="1:5">
      <c r="A186">
        <v>510</v>
      </c>
      <c r="B186" t="s">
        <v>679</v>
      </c>
      <c r="C186" t="s">
        <v>680</v>
      </c>
      <c r="D186" s="11">
        <v>122.74</v>
      </c>
      <c r="E186">
        <v>185</v>
      </c>
    </row>
    <row r="187" spans="1:5">
      <c r="A187">
        <v>331</v>
      </c>
      <c r="B187" t="s">
        <v>403</v>
      </c>
      <c r="C187" t="s">
        <v>404</v>
      </c>
      <c r="D187" s="11">
        <v>122.73</v>
      </c>
      <c r="E187">
        <v>186</v>
      </c>
    </row>
    <row r="188" spans="1:5">
      <c r="A188">
        <v>276</v>
      </c>
      <c r="B188" t="s">
        <v>348</v>
      </c>
      <c r="C188" t="s">
        <v>349</v>
      </c>
      <c r="D188" s="11">
        <v>122.72</v>
      </c>
      <c r="E188">
        <v>187</v>
      </c>
    </row>
    <row r="189" spans="1:5">
      <c r="A189">
        <v>163</v>
      </c>
      <c r="B189" t="s">
        <v>243</v>
      </c>
      <c r="C189" t="s">
        <v>244</v>
      </c>
      <c r="D189" s="11">
        <v>122.71</v>
      </c>
      <c r="E189">
        <v>188</v>
      </c>
    </row>
    <row r="190" spans="1:5">
      <c r="A190">
        <v>263</v>
      </c>
      <c r="B190" t="s">
        <v>331</v>
      </c>
      <c r="C190" t="s">
        <v>332</v>
      </c>
      <c r="D190" s="11">
        <v>122.71</v>
      </c>
      <c r="E190">
        <v>188</v>
      </c>
    </row>
    <row r="191" spans="1:5">
      <c r="A191">
        <v>260</v>
      </c>
      <c r="B191" t="s">
        <v>327</v>
      </c>
      <c r="C191" t="s">
        <v>328</v>
      </c>
      <c r="D191" s="11">
        <v>122.69</v>
      </c>
      <c r="E191">
        <v>190</v>
      </c>
    </row>
    <row r="192" spans="1:5">
      <c r="A192">
        <v>406</v>
      </c>
      <c r="B192" t="s">
        <v>483</v>
      </c>
      <c r="C192" t="s">
        <v>484</v>
      </c>
      <c r="D192" s="11">
        <v>122.68</v>
      </c>
      <c r="E192">
        <v>191</v>
      </c>
    </row>
    <row r="193" spans="1:5">
      <c r="A193">
        <v>241</v>
      </c>
      <c r="B193" t="s">
        <v>307</v>
      </c>
      <c r="C193" t="s">
        <v>308</v>
      </c>
      <c r="D193" s="11">
        <v>122.66</v>
      </c>
      <c r="E193">
        <v>192</v>
      </c>
    </row>
    <row r="194" spans="1:5">
      <c r="A194">
        <v>571</v>
      </c>
      <c r="B194" t="s">
        <v>681</v>
      </c>
      <c r="C194" t="s">
        <v>682</v>
      </c>
      <c r="D194" s="11">
        <v>121.76</v>
      </c>
      <c r="E194">
        <v>193</v>
      </c>
    </row>
    <row r="195" spans="1:5">
      <c r="A195">
        <v>149</v>
      </c>
      <c r="B195" t="s">
        <v>683</v>
      </c>
      <c r="C195" t="s">
        <v>684</v>
      </c>
      <c r="D195" s="11">
        <v>121.74</v>
      </c>
      <c r="E195">
        <v>194</v>
      </c>
    </row>
    <row r="196" spans="1:5">
      <c r="A196">
        <v>356</v>
      </c>
      <c r="B196" t="s">
        <v>433</v>
      </c>
      <c r="C196" t="s">
        <v>434</v>
      </c>
      <c r="D196" s="11">
        <v>121.7</v>
      </c>
      <c r="E196">
        <v>195</v>
      </c>
    </row>
    <row r="197" spans="1:5">
      <c r="A197">
        <v>393</v>
      </c>
      <c r="B197" t="s">
        <v>470</v>
      </c>
      <c r="C197" t="s">
        <v>471</v>
      </c>
      <c r="D197" s="11">
        <v>121.69</v>
      </c>
      <c r="E197">
        <v>196</v>
      </c>
    </row>
    <row r="198" spans="1:5">
      <c r="A198">
        <v>416</v>
      </c>
      <c r="B198" t="s">
        <v>491</v>
      </c>
      <c r="C198" t="s">
        <v>492</v>
      </c>
      <c r="D198" s="11">
        <v>121.69</v>
      </c>
      <c r="E198">
        <v>196</v>
      </c>
    </row>
    <row r="199" spans="1:5">
      <c r="A199">
        <v>311</v>
      </c>
      <c r="B199" t="s">
        <v>685</v>
      </c>
      <c r="C199" t="s">
        <v>686</v>
      </c>
      <c r="D199" s="11">
        <v>120.77</v>
      </c>
      <c r="E199">
        <v>198</v>
      </c>
    </row>
    <row r="200" spans="1:5">
      <c r="A200">
        <v>105</v>
      </c>
      <c r="B200" t="s">
        <v>687</v>
      </c>
      <c r="C200" t="s">
        <v>688</v>
      </c>
      <c r="D200" s="11">
        <v>120.74</v>
      </c>
      <c r="E200">
        <v>199</v>
      </c>
    </row>
    <row r="201" spans="1:5">
      <c r="A201">
        <v>225</v>
      </c>
      <c r="B201" t="s">
        <v>689</v>
      </c>
      <c r="C201" t="s">
        <v>690</v>
      </c>
      <c r="D201" s="11">
        <v>120.74</v>
      </c>
      <c r="E201">
        <v>199</v>
      </c>
    </row>
    <row r="202" spans="1:5">
      <c r="A202">
        <v>423</v>
      </c>
      <c r="B202" t="s">
        <v>691</v>
      </c>
      <c r="C202" t="s">
        <v>692</v>
      </c>
      <c r="D202" s="11">
        <v>120.74</v>
      </c>
      <c r="E202">
        <v>199</v>
      </c>
    </row>
    <row r="203" spans="1:5">
      <c r="A203">
        <v>495</v>
      </c>
      <c r="B203" t="s">
        <v>693</v>
      </c>
      <c r="C203" t="s">
        <v>694</v>
      </c>
      <c r="D203" s="11">
        <v>120.74</v>
      </c>
      <c r="E203">
        <v>199</v>
      </c>
    </row>
    <row r="204" spans="1:5">
      <c r="A204">
        <v>573</v>
      </c>
      <c r="B204" t="s">
        <v>612</v>
      </c>
      <c r="C204" t="s">
        <v>613</v>
      </c>
      <c r="D204" s="11">
        <v>120.71</v>
      </c>
      <c r="E204">
        <v>203</v>
      </c>
    </row>
    <row r="205" spans="1:5">
      <c r="A205">
        <v>251</v>
      </c>
      <c r="B205" t="s">
        <v>315</v>
      </c>
      <c r="C205" t="s">
        <v>316</v>
      </c>
      <c r="D205" s="11">
        <v>120.69</v>
      </c>
      <c r="E205">
        <v>204</v>
      </c>
    </row>
    <row r="206" spans="1:5">
      <c r="A206">
        <v>170</v>
      </c>
      <c r="B206" t="s">
        <v>695</v>
      </c>
      <c r="C206" t="s">
        <v>580</v>
      </c>
      <c r="D206" s="11">
        <v>119.74</v>
      </c>
      <c r="E206">
        <v>205</v>
      </c>
    </row>
    <row r="207" spans="1:5">
      <c r="A207">
        <v>487</v>
      </c>
      <c r="B207" t="s">
        <v>696</v>
      </c>
      <c r="C207" t="s">
        <v>697</v>
      </c>
      <c r="D207" s="11">
        <v>119.74</v>
      </c>
      <c r="E207">
        <v>205</v>
      </c>
    </row>
    <row r="208" spans="1:5">
      <c r="A208">
        <v>421</v>
      </c>
      <c r="B208" t="s">
        <v>495</v>
      </c>
      <c r="C208" t="s">
        <v>496</v>
      </c>
      <c r="D208" s="11">
        <v>119.73</v>
      </c>
      <c r="E208">
        <v>207</v>
      </c>
    </row>
    <row r="209" spans="1:5">
      <c r="A209">
        <v>262</v>
      </c>
      <c r="B209" t="s">
        <v>329</v>
      </c>
      <c r="C209" t="s">
        <v>330</v>
      </c>
      <c r="D209" s="11">
        <v>119.72</v>
      </c>
      <c r="E209">
        <v>208</v>
      </c>
    </row>
    <row r="210" spans="1:5">
      <c r="A210">
        <v>173</v>
      </c>
      <c r="B210" t="s">
        <v>253</v>
      </c>
      <c r="C210" t="s">
        <v>254</v>
      </c>
      <c r="D210" s="11">
        <v>119.71</v>
      </c>
      <c r="E210">
        <v>209</v>
      </c>
    </row>
    <row r="211" spans="1:5">
      <c r="A211">
        <v>23</v>
      </c>
      <c r="B211" t="s">
        <v>87</v>
      </c>
      <c r="C211" t="s">
        <v>88</v>
      </c>
      <c r="D211" s="11">
        <v>119.7</v>
      </c>
      <c r="E211">
        <v>210</v>
      </c>
    </row>
    <row r="212" spans="1:5">
      <c r="A212">
        <v>336</v>
      </c>
      <c r="B212" t="s">
        <v>411</v>
      </c>
      <c r="C212" t="s">
        <v>412</v>
      </c>
      <c r="D212" s="11">
        <v>119.7</v>
      </c>
      <c r="E212">
        <v>210</v>
      </c>
    </row>
    <row r="213" spans="1:5">
      <c r="A213">
        <v>340</v>
      </c>
      <c r="B213" t="s">
        <v>419</v>
      </c>
      <c r="C213" t="s">
        <v>420</v>
      </c>
      <c r="D213" s="11">
        <v>119.69</v>
      </c>
      <c r="E213">
        <v>212</v>
      </c>
    </row>
    <row r="214" spans="1:5">
      <c r="A214">
        <v>167</v>
      </c>
      <c r="B214" t="s">
        <v>247</v>
      </c>
      <c r="C214" t="s">
        <v>248</v>
      </c>
      <c r="D214" s="11">
        <v>119.68</v>
      </c>
      <c r="E214">
        <v>213</v>
      </c>
    </row>
    <row r="215" spans="1:5">
      <c r="A215">
        <v>41</v>
      </c>
      <c r="B215" t="s">
        <v>698</v>
      </c>
      <c r="C215" t="s">
        <v>578</v>
      </c>
      <c r="D215" s="11">
        <v>118.75</v>
      </c>
      <c r="E215">
        <v>214</v>
      </c>
    </row>
    <row r="216" spans="1:5">
      <c r="A216">
        <v>531</v>
      </c>
      <c r="B216" t="s">
        <v>225</v>
      </c>
      <c r="C216" t="s">
        <v>699</v>
      </c>
      <c r="D216" s="11">
        <v>118.75</v>
      </c>
      <c r="E216">
        <v>214</v>
      </c>
    </row>
    <row r="217" spans="1:5">
      <c r="A217">
        <v>280</v>
      </c>
      <c r="B217" t="s">
        <v>354</v>
      </c>
      <c r="C217" t="s">
        <v>355</v>
      </c>
      <c r="D217" s="11">
        <v>118.73</v>
      </c>
      <c r="E217">
        <v>216</v>
      </c>
    </row>
    <row r="218" spans="1:5">
      <c r="A218">
        <v>292</v>
      </c>
      <c r="B218" t="s">
        <v>370</v>
      </c>
      <c r="C218" t="s">
        <v>371</v>
      </c>
      <c r="D218" s="11">
        <v>118.73</v>
      </c>
      <c r="E218">
        <v>216</v>
      </c>
    </row>
    <row r="219" spans="1:5">
      <c r="A219">
        <v>16</v>
      </c>
      <c r="B219" t="s">
        <v>81</v>
      </c>
      <c r="C219" t="s">
        <v>82</v>
      </c>
      <c r="D219" s="11">
        <v>118.72</v>
      </c>
      <c r="E219">
        <v>218</v>
      </c>
    </row>
    <row r="220" spans="1:5">
      <c r="A220">
        <v>266</v>
      </c>
      <c r="B220" t="s">
        <v>334</v>
      </c>
      <c r="C220" t="s">
        <v>335</v>
      </c>
      <c r="D220" s="11">
        <v>118.72</v>
      </c>
      <c r="E220">
        <v>218</v>
      </c>
    </row>
    <row r="221" spans="1:5">
      <c r="A221">
        <v>332</v>
      </c>
      <c r="B221" t="s">
        <v>405</v>
      </c>
      <c r="C221" t="s">
        <v>406</v>
      </c>
      <c r="D221" s="11">
        <v>118.72</v>
      </c>
      <c r="E221">
        <v>218</v>
      </c>
    </row>
    <row r="222" spans="1:5">
      <c r="A222">
        <v>529</v>
      </c>
      <c r="B222" t="s">
        <v>584</v>
      </c>
      <c r="C222" t="s">
        <v>585</v>
      </c>
      <c r="D222" s="11">
        <v>118.71</v>
      </c>
      <c r="E222">
        <v>221</v>
      </c>
    </row>
    <row r="223" spans="1:5">
      <c r="A223">
        <v>1</v>
      </c>
      <c r="B223" t="s">
        <v>63</v>
      </c>
      <c r="C223" t="s">
        <v>64</v>
      </c>
      <c r="D223" s="11">
        <v>118.68</v>
      </c>
      <c r="E223">
        <v>222</v>
      </c>
    </row>
    <row r="224" spans="1:5">
      <c r="A224">
        <v>442</v>
      </c>
      <c r="B224" t="s">
        <v>509</v>
      </c>
      <c r="C224" t="s">
        <v>510</v>
      </c>
      <c r="D224" s="11">
        <v>118.68</v>
      </c>
      <c r="E224">
        <v>222</v>
      </c>
    </row>
    <row r="225" spans="1:5">
      <c r="A225">
        <v>583</v>
      </c>
      <c r="B225" t="s">
        <v>192</v>
      </c>
      <c r="C225" t="s">
        <v>700</v>
      </c>
      <c r="D225" s="11">
        <v>117.77</v>
      </c>
      <c r="E225">
        <v>224</v>
      </c>
    </row>
    <row r="226" spans="1:5">
      <c r="A226">
        <v>490</v>
      </c>
      <c r="B226" t="s">
        <v>701</v>
      </c>
      <c r="C226" t="s">
        <v>702</v>
      </c>
      <c r="D226" s="11">
        <v>117.76</v>
      </c>
      <c r="E226">
        <v>225</v>
      </c>
    </row>
    <row r="227" spans="1:5">
      <c r="A227">
        <v>585</v>
      </c>
      <c r="B227" t="s">
        <v>158</v>
      </c>
      <c r="C227" t="s">
        <v>703</v>
      </c>
      <c r="D227" s="11">
        <v>117.76</v>
      </c>
      <c r="E227">
        <v>225</v>
      </c>
    </row>
    <row r="228" spans="1:5">
      <c r="A228">
        <v>536</v>
      </c>
      <c r="B228" t="s">
        <v>704</v>
      </c>
      <c r="C228" t="s">
        <v>705</v>
      </c>
      <c r="D228" s="11">
        <v>117.75</v>
      </c>
      <c r="E228">
        <v>227</v>
      </c>
    </row>
    <row r="229" spans="1:5">
      <c r="A229">
        <v>240</v>
      </c>
      <c r="B229" t="s">
        <v>706</v>
      </c>
      <c r="C229" t="s">
        <v>707</v>
      </c>
      <c r="D229" s="11">
        <v>117.74</v>
      </c>
      <c r="E229">
        <v>228</v>
      </c>
    </row>
    <row r="230" spans="1:5">
      <c r="A230">
        <v>286</v>
      </c>
      <c r="B230" t="s">
        <v>362</v>
      </c>
      <c r="C230" t="s">
        <v>363</v>
      </c>
      <c r="D230" s="11">
        <v>117.73</v>
      </c>
      <c r="E230">
        <v>229</v>
      </c>
    </row>
    <row r="231" spans="1:5">
      <c r="A231">
        <v>577</v>
      </c>
      <c r="B231" t="s">
        <v>619</v>
      </c>
      <c r="C231" t="s">
        <v>620</v>
      </c>
      <c r="D231" s="11">
        <v>117.73</v>
      </c>
      <c r="E231">
        <v>229</v>
      </c>
    </row>
    <row r="232" spans="1:5">
      <c r="A232">
        <v>14</v>
      </c>
      <c r="B232" t="s">
        <v>77</v>
      </c>
      <c r="C232" t="s">
        <v>78</v>
      </c>
      <c r="D232" s="11">
        <v>117.72</v>
      </c>
      <c r="E232">
        <v>231</v>
      </c>
    </row>
    <row r="233" spans="1:5">
      <c r="A233">
        <v>126</v>
      </c>
      <c r="B233" t="s">
        <v>199</v>
      </c>
      <c r="C233" t="s">
        <v>200</v>
      </c>
      <c r="D233" s="11">
        <v>117.72</v>
      </c>
      <c r="E233">
        <v>231</v>
      </c>
    </row>
    <row r="234" spans="1:5">
      <c r="A234">
        <v>386</v>
      </c>
      <c r="B234" t="s">
        <v>462</v>
      </c>
      <c r="C234" t="s">
        <v>463</v>
      </c>
      <c r="D234" s="11">
        <v>117.71</v>
      </c>
      <c r="E234">
        <v>233</v>
      </c>
    </row>
    <row r="235" spans="1:5">
      <c r="A235">
        <v>538</v>
      </c>
      <c r="B235" t="s">
        <v>592</v>
      </c>
      <c r="C235" t="s">
        <v>593</v>
      </c>
      <c r="D235" s="11">
        <v>117.71</v>
      </c>
      <c r="E235">
        <v>233</v>
      </c>
    </row>
    <row r="236" spans="1:5">
      <c r="A236">
        <v>42</v>
      </c>
      <c r="B236" t="s">
        <v>113</v>
      </c>
      <c r="C236" t="s">
        <v>114</v>
      </c>
      <c r="D236" s="11">
        <v>117.7</v>
      </c>
      <c r="E236">
        <v>235</v>
      </c>
    </row>
    <row r="237" spans="1:5">
      <c r="A237">
        <v>595</v>
      </c>
      <c r="B237" t="s">
        <v>636</v>
      </c>
      <c r="C237" t="s">
        <v>637</v>
      </c>
      <c r="D237" s="11">
        <v>117.7</v>
      </c>
      <c r="E237">
        <v>235</v>
      </c>
    </row>
    <row r="238" spans="1:5">
      <c r="A238">
        <v>321</v>
      </c>
      <c r="B238" t="s">
        <v>708</v>
      </c>
      <c r="C238" t="s">
        <v>709</v>
      </c>
      <c r="D238" s="11">
        <v>116.78</v>
      </c>
      <c r="E238">
        <v>237</v>
      </c>
    </row>
    <row r="239" spans="1:5">
      <c r="A239">
        <v>432</v>
      </c>
      <c r="B239" t="s">
        <v>710</v>
      </c>
      <c r="C239" t="s">
        <v>711</v>
      </c>
      <c r="D239" s="11">
        <v>116.77</v>
      </c>
      <c r="E239">
        <v>238</v>
      </c>
    </row>
    <row r="240" spans="1:5">
      <c r="A240">
        <v>408</v>
      </c>
      <c r="B240" t="s">
        <v>487</v>
      </c>
      <c r="C240" t="s">
        <v>488</v>
      </c>
      <c r="D240" s="11">
        <v>116.7</v>
      </c>
      <c r="E240">
        <v>239</v>
      </c>
    </row>
    <row r="241" spans="1:5">
      <c r="A241">
        <v>214</v>
      </c>
      <c r="B241" t="s">
        <v>291</v>
      </c>
      <c r="C241" t="s">
        <v>292</v>
      </c>
      <c r="D241" s="11">
        <v>116.69</v>
      </c>
      <c r="E241">
        <v>240</v>
      </c>
    </row>
    <row r="242" spans="1:5">
      <c r="A242">
        <v>446</v>
      </c>
      <c r="B242" t="s">
        <v>513</v>
      </c>
      <c r="C242" t="s">
        <v>514</v>
      </c>
      <c r="D242" s="11">
        <v>116.69</v>
      </c>
      <c r="E242">
        <v>240</v>
      </c>
    </row>
    <row r="243" spans="1:5">
      <c r="A243">
        <v>254</v>
      </c>
      <c r="B243" t="s">
        <v>319</v>
      </c>
      <c r="C243" t="s">
        <v>320</v>
      </c>
      <c r="D243" s="11">
        <v>116.68</v>
      </c>
      <c r="E243">
        <v>242</v>
      </c>
    </row>
    <row r="244" spans="1:5">
      <c r="A244">
        <v>304</v>
      </c>
      <c r="B244" t="s">
        <v>712</v>
      </c>
      <c r="C244" t="s">
        <v>713</v>
      </c>
      <c r="D244" s="11">
        <v>115.74</v>
      </c>
      <c r="E244">
        <v>243</v>
      </c>
    </row>
    <row r="245" spans="1:5">
      <c r="A245">
        <v>512</v>
      </c>
      <c r="B245" t="s">
        <v>714</v>
      </c>
      <c r="C245" t="s">
        <v>715</v>
      </c>
      <c r="D245" s="11">
        <v>115.74</v>
      </c>
      <c r="E245">
        <v>243</v>
      </c>
    </row>
    <row r="246" spans="1:5">
      <c r="A246">
        <v>58</v>
      </c>
      <c r="B246" t="s">
        <v>135</v>
      </c>
      <c r="C246" t="s">
        <v>136</v>
      </c>
      <c r="D246" s="11">
        <v>115.73</v>
      </c>
      <c r="E246">
        <v>245</v>
      </c>
    </row>
    <row r="247" spans="1:5">
      <c r="A247">
        <v>500</v>
      </c>
      <c r="B247" t="s">
        <v>564</v>
      </c>
      <c r="C247" t="s">
        <v>565</v>
      </c>
      <c r="D247" s="11">
        <v>115.72</v>
      </c>
      <c r="E247">
        <v>246</v>
      </c>
    </row>
    <row r="248" spans="1:5">
      <c r="A248">
        <v>25</v>
      </c>
      <c r="B248" t="s">
        <v>89</v>
      </c>
      <c r="C248" t="s">
        <v>90</v>
      </c>
      <c r="D248" s="11">
        <v>115.71</v>
      </c>
      <c r="E248">
        <v>247</v>
      </c>
    </row>
    <row r="249" spans="1:5">
      <c r="A249">
        <v>287</v>
      </c>
      <c r="B249" t="s">
        <v>364</v>
      </c>
      <c r="C249" t="s">
        <v>365</v>
      </c>
      <c r="D249" s="11">
        <v>115.71</v>
      </c>
      <c r="E249">
        <v>247</v>
      </c>
    </row>
    <row r="250" spans="1:5">
      <c r="A250">
        <v>481</v>
      </c>
      <c r="B250" t="s">
        <v>547</v>
      </c>
      <c r="C250" t="s">
        <v>548</v>
      </c>
      <c r="D250" s="11">
        <v>115.71</v>
      </c>
      <c r="E250">
        <v>247</v>
      </c>
    </row>
    <row r="251" spans="1:5">
      <c r="A251">
        <v>485</v>
      </c>
      <c r="B251" t="s">
        <v>553</v>
      </c>
      <c r="C251" t="s">
        <v>554</v>
      </c>
      <c r="D251" s="11">
        <v>115.71</v>
      </c>
      <c r="E251">
        <v>247</v>
      </c>
    </row>
    <row r="252" spans="1:5">
      <c r="A252">
        <v>588</v>
      </c>
      <c r="B252" t="s">
        <v>257</v>
      </c>
      <c r="C252" t="s">
        <v>628</v>
      </c>
      <c r="D252" s="11">
        <v>115.71</v>
      </c>
      <c r="E252">
        <v>247</v>
      </c>
    </row>
    <row r="253" spans="1:5">
      <c r="A253">
        <v>20</v>
      </c>
      <c r="B253" t="s">
        <v>83</v>
      </c>
      <c r="C253" t="s">
        <v>84</v>
      </c>
      <c r="D253" s="11">
        <v>115.7</v>
      </c>
      <c r="E253">
        <v>252</v>
      </c>
    </row>
    <row r="254" spans="1:5">
      <c r="A254">
        <v>53</v>
      </c>
      <c r="B254" t="s">
        <v>127</v>
      </c>
      <c r="C254" t="s">
        <v>128</v>
      </c>
      <c r="D254" s="11">
        <v>115.7</v>
      </c>
      <c r="E254">
        <v>252</v>
      </c>
    </row>
    <row r="255" spans="1:5">
      <c r="A255">
        <v>444</v>
      </c>
      <c r="B255" t="s">
        <v>511</v>
      </c>
      <c r="C255" t="s">
        <v>512</v>
      </c>
      <c r="D255" s="11">
        <v>115.7</v>
      </c>
      <c r="E255">
        <v>252</v>
      </c>
    </row>
    <row r="256" spans="1:5">
      <c r="A256">
        <v>503</v>
      </c>
      <c r="B256" t="s">
        <v>568</v>
      </c>
      <c r="C256" t="s">
        <v>569</v>
      </c>
      <c r="D256" s="11">
        <v>115.68</v>
      </c>
      <c r="E256">
        <v>255</v>
      </c>
    </row>
    <row r="257" spans="1:5">
      <c r="A257">
        <v>427</v>
      </c>
      <c r="B257" t="s">
        <v>716</v>
      </c>
      <c r="C257" t="s">
        <v>717</v>
      </c>
      <c r="D257" s="11">
        <v>114.76</v>
      </c>
      <c r="E257">
        <v>256</v>
      </c>
    </row>
    <row r="258" spans="1:5">
      <c r="A258">
        <v>343</v>
      </c>
      <c r="B258" t="s">
        <v>324</v>
      </c>
      <c r="C258" t="s">
        <v>718</v>
      </c>
      <c r="D258" s="11">
        <v>114.75</v>
      </c>
      <c r="E258">
        <v>257</v>
      </c>
    </row>
    <row r="259" spans="1:5">
      <c r="A259">
        <v>44</v>
      </c>
      <c r="B259" t="s">
        <v>719</v>
      </c>
      <c r="C259" t="s">
        <v>720</v>
      </c>
      <c r="D259" s="11">
        <v>114.74</v>
      </c>
      <c r="E259">
        <v>258</v>
      </c>
    </row>
    <row r="260" spans="1:5">
      <c r="A260">
        <v>171</v>
      </c>
      <c r="B260" t="s">
        <v>721</v>
      </c>
      <c r="C260" t="s">
        <v>722</v>
      </c>
      <c r="D260" s="11">
        <v>114.74</v>
      </c>
      <c r="E260">
        <v>258</v>
      </c>
    </row>
    <row r="261" spans="1:5">
      <c r="A261">
        <v>220</v>
      </c>
      <c r="B261" t="s">
        <v>293</v>
      </c>
      <c r="C261" t="s">
        <v>294</v>
      </c>
      <c r="D261" s="11">
        <v>114.73</v>
      </c>
      <c r="E261">
        <v>260</v>
      </c>
    </row>
    <row r="262" spans="1:5">
      <c r="A262">
        <v>57</v>
      </c>
      <c r="B262" t="s">
        <v>133</v>
      </c>
      <c r="C262" t="s">
        <v>134</v>
      </c>
      <c r="D262" s="11">
        <v>114.72</v>
      </c>
      <c r="E262">
        <v>261</v>
      </c>
    </row>
    <row r="263" spans="1:5">
      <c r="A263">
        <v>317</v>
      </c>
      <c r="B263" t="s">
        <v>393</v>
      </c>
      <c r="C263" t="s">
        <v>394</v>
      </c>
      <c r="D263" s="11">
        <v>114.72</v>
      </c>
      <c r="E263">
        <v>261</v>
      </c>
    </row>
    <row r="264" spans="1:5">
      <c r="A264">
        <v>338</v>
      </c>
      <c r="B264" t="s">
        <v>415</v>
      </c>
      <c r="C264" t="s">
        <v>416</v>
      </c>
      <c r="D264" s="11">
        <v>114.72</v>
      </c>
      <c r="E264">
        <v>261</v>
      </c>
    </row>
    <row r="265" spans="1:5">
      <c r="A265">
        <v>457</v>
      </c>
      <c r="B265" t="s">
        <v>525</v>
      </c>
      <c r="C265" t="s">
        <v>526</v>
      </c>
      <c r="D265" s="11">
        <v>114.72</v>
      </c>
      <c r="E265">
        <v>261</v>
      </c>
    </row>
    <row r="266" spans="1:5">
      <c r="A266">
        <v>186</v>
      </c>
      <c r="B266" t="s">
        <v>263</v>
      </c>
      <c r="C266" t="s">
        <v>264</v>
      </c>
      <c r="D266" s="11">
        <v>114.69</v>
      </c>
      <c r="E266">
        <v>265</v>
      </c>
    </row>
    <row r="267" spans="1:5">
      <c r="A267">
        <v>323</v>
      </c>
      <c r="B267" t="s">
        <v>399</v>
      </c>
      <c r="C267" t="s">
        <v>400</v>
      </c>
      <c r="D267" s="11">
        <v>114.69</v>
      </c>
      <c r="E267">
        <v>265</v>
      </c>
    </row>
    <row r="268" spans="1:5">
      <c r="A268">
        <v>22</v>
      </c>
      <c r="B268" t="s">
        <v>723</v>
      </c>
      <c r="C268" t="s">
        <v>724</v>
      </c>
      <c r="D268" s="11">
        <v>113.78</v>
      </c>
      <c r="E268">
        <v>267</v>
      </c>
    </row>
    <row r="269" spans="1:5">
      <c r="A269">
        <v>582</v>
      </c>
      <c r="B269" t="s">
        <v>725</v>
      </c>
      <c r="C269" t="s">
        <v>726</v>
      </c>
      <c r="D269" s="11">
        <v>113.75</v>
      </c>
      <c r="E269">
        <v>268</v>
      </c>
    </row>
    <row r="270" spans="1:5">
      <c r="A270">
        <v>294</v>
      </c>
      <c r="B270" t="s">
        <v>727</v>
      </c>
      <c r="C270" t="s">
        <v>728</v>
      </c>
      <c r="D270" s="11">
        <v>113.74</v>
      </c>
      <c r="E270">
        <v>269</v>
      </c>
    </row>
    <row r="271" spans="1:5">
      <c r="A271">
        <v>486</v>
      </c>
      <c r="B271" t="s">
        <v>729</v>
      </c>
      <c r="C271" t="s">
        <v>730</v>
      </c>
      <c r="D271" s="11">
        <v>113.74</v>
      </c>
      <c r="E271">
        <v>269</v>
      </c>
    </row>
    <row r="272" spans="1:5">
      <c r="A272">
        <v>593</v>
      </c>
      <c r="B272" t="s">
        <v>731</v>
      </c>
      <c r="C272" t="s">
        <v>732</v>
      </c>
      <c r="D272" s="11">
        <v>113.74</v>
      </c>
      <c r="E272">
        <v>269</v>
      </c>
    </row>
    <row r="273" spans="1:5">
      <c r="A273">
        <v>139</v>
      </c>
      <c r="B273" t="s">
        <v>217</v>
      </c>
      <c r="C273" t="s">
        <v>218</v>
      </c>
      <c r="D273" s="11">
        <v>113.73</v>
      </c>
      <c r="E273">
        <v>272</v>
      </c>
    </row>
    <row r="274" spans="1:5">
      <c r="A274">
        <v>113</v>
      </c>
      <c r="B274" t="s">
        <v>183</v>
      </c>
      <c r="C274" t="s">
        <v>184</v>
      </c>
      <c r="D274" s="11">
        <v>113.71</v>
      </c>
      <c r="E274">
        <v>273</v>
      </c>
    </row>
    <row r="275" spans="1:5">
      <c r="A275">
        <v>447</v>
      </c>
      <c r="B275" t="s">
        <v>515</v>
      </c>
      <c r="C275" t="s">
        <v>516</v>
      </c>
      <c r="D275" s="11">
        <v>113.71</v>
      </c>
      <c r="E275">
        <v>273</v>
      </c>
    </row>
    <row r="276" spans="1:5">
      <c r="A276">
        <v>157</v>
      </c>
      <c r="B276" t="s">
        <v>235</v>
      </c>
      <c r="C276" t="s">
        <v>236</v>
      </c>
      <c r="D276" s="11">
        <v>113.69</v>
      </c>
      <c r="E276">
        <v>275</v>
      </c>
    </row>
    <row r="277" spans="1:5">
      <c r="A277">
        <v>91</v>
      </c>
      <c r="B277" t="s">
        <v>167</v>
      </c>
      <c r="C277" t="s">
        <v>168</v>
      </c>
      <c r="D277" s="11">
        <v>113.65</v>
      </c>
      <c r="E277">
        <v>276</v>
      </c>
    </row>
    <row r="278" spans="1:5">
      <c r="A278">
        <v>493</v>
      </c>
      <c r="B278" t="s">
        <v>733</v>
      </c>
      <c r="C278" t="s">
        <v>734</v>
      </c>
      <c r="D278" s="11">
        <v>112.77</v>
      </c>
      <c r="E278">
        <v>277</v>
      </c>
    </row>
    <row r="279" spans="1:5">
      <c r="A279">
        <v>540</v>
      </c>
      <c r="B279" t="s">
        <v>735</v>
      </c>
      <c r="C279" t="s">
        <v>736</v>
      </c>
      <c r="D279" s="11">
        <v>112.76</v>
      </c>
      <c r="E279">
        <v>278</v>
      </c>
    </row>
    <row r="280" spans="1:5">
      <c r="A280">
        <v>63</v>
      </c>
      <c r="B280" t="s">
        <v>737</v>
      </c>
      <c r="C280" t="s">
        <v>738</v>
      </c>
      <c r="D280" s="11">
        <v>112.75</v>
      </c>
      <c r="E280">
        <v>279</v>
      </c>
    </row>
    <row r="281" spans="1:5">
      <c r="A281">
        <v>590</v>
      </c>
      <c r="B281" t="s">
        <v>739</v>
      </c>
      <c r="C281" t="s">
        <v>740</v>
      </c>
      <c r="D281" s="11">
        <v>112.75</v>
      </c>
      <c r="E281">
        <v>279</v>
      </c>
    </row>
    <row r="282" spans="1:5">
      <c r="A282">
        <v>327</v>
      </c>
      <c r="B282" t="s">
        <v>741</v>
      </c>
      <c r="C282" t="s">
        <v>742</v>
      </c>
      <c r="D282" s="11">
        <v>112.74</v>
      </c>
      <c r="E282">
        <v>281</v>
      </c>
    </row>
    <row r="283" spans="1:5">
      <c r="A283">
        <v>407</v>
      </c>
      <c r="B283" t="s">
        <v>485</v>
      </c>
      <c r="C283" t="s">
        <v>486</v>
      </c>
      <c r="D283" s="11">
        <v>112.73</v>
      </c>
      <c r="E283">
        <v>282</v>
      </c>
    </row>
    <row r="284" spans="1:5">
      <c r="A284">
        <v>441</v>
      </c>
      <c r="B284" t="s">
        <v>507</v>
      </c>
      <c r="C284" t="s">
        <v>508</v>
      </c>
      <c r="D284" s="11">
        <v>112.72</v>
      </c>
      <c r="E284">
        <v>283</v>
      </c>
    </row>
    <row r="285" spans="1:5">
      <c r="A285">
        <v>161</v>
      </c>
      <c r="B285" t="s">
        <v>241</v>
      </c>
      <c r="C285" t="s">
        <v>242</v>
      </c>
      <c r="D285" s="11">
        <v>112.7</v>
      </c>
      <c r="E285">
        <v>284</v>
      </c>
    </row>
    <row r="286" spans="1:5">
      <c r="A286">
        <v>256</v>
      </c>
      <c r="B286" t="s">
        <v>321</v>
      </c>
      <c r="C286" t="s">
        <v>322</v>
      </c>
      <c r="D286" s="11">
        <v>112.7</v>
      </c>
      <c r="E286">
        <v>284</v>
      </c>
    </row>
    <row r="287" spans="1:5">
      <c r="A287">
        <v>453</v>
      </c>
      <c r="B287" t="s">
        <v>743</v>
      </c>
      <c r="C287" t="s">
        <v>744</v>
      </c>
      <c r="D287" s="11">
        <v>111.77</v>
      </c>
      <c r="E287">
        <v>286</v>
      </c>
    </row>
    <row r="288" spans="1:5">
      <c r="A288">
        <v>528</v>
      </c>
      <c r="B288" t="s">
        <v>745</v>
      </c>
      <c r="C288" t="s">
        <v>746</v>
      </c>
      <c r="D288" s="11">
        <v>111.75</v>
      </c>
      <c r="E288">
        <v>287</v>
      </c>
    </row>
    <row r="289" spans="1:5">
      <c r="A289">
        <v>234</v>
      </c>
      <c r="B289" t="s">
        <v>747</v>
      </c>
      <c r="C289" t="s">
        <v>748</v>
      </c>
      <c r="D289" s="11">
        <v>111.74</v>
      </c>
      <c r="E289">
        <v>288</v>
      </c>
    </row>
    <row r="290" spans="1:5">
      <c r="A290">
        <v>518</v>
      </c>
      <c r="B290" t="s">
        <v>749</v>
      </c>
      <c r="C290" t="s">
        <v>750</v>
      </c>
      <c r="D290" s="11">
        <v>111.74</v>
      </c>
      <c r="E290">
        <v>288</v>
      </c>
    </row>
    <row r="291" spans="1:5">
      <c r="A291">
        <v>116</v>
      </c>
      <c r="B291" t="s">
        <v>189</v>
      </c>
      <c r="C291" t="s">
        <v>190</v>
      </c>
      <c r="D291" s="11">
        <v>111.73</v>
      </c>
      <c r="E291">
        <v>290</v>
      </c>
    </row>
    <row r="292" spans="1:5">
      <c r="A292">
        <v>396</v>
      </c>
      <c r="B292" t="s">
        <v>472</v>
      </c>
      <c r="C292" t="s">
        <v>473</v>
      </c>
      <c r="D292" s="11">
        <v>111.73</v>
      </c>
      <c r="E292">
        <v>290</v>
      </c>
    </row>
    <row r="293" spans="1:5">
      <c r="A293">
        <v>579</v>
      </c>
      <c r="B293" t="s">
        <v>621</v>
      </c>
      <c r="C293" t="s">
        <v>622</v>
      </c>
      <c r="D293" s="11">
        <v>111.73</v>
      </c>
      <c r="E293">
        <v>290</v>
      </c>
    </row>
    <row r="294" spans="1:5">
      <c r="A294">
        <v>213</v>
      </c>
      <c r="B294" t="s">
        <v>289</v>
      </c>
      <c r="C294" t="s">
        <v>290</v>
      </c>
      <c r="D294" s="11">
        <v>111.72</v>
      </c>
      <c r="E294">
        <v>293</v>
      </c>
    </row>
    <row r="295" spans="1:5">
      <c r="A295">
        <v>592</v>
      </c>
      <c r="B295" t="s">
        <v>632</v>
      </c>
      <c r="C295" t="s">
        <v>633</v>
      </c>
      <c r="D295" s="11">
        <v>111.71</v>
      </c>
      <c r="E295">
        <v>294</v>
      </c>
    </row>
    <row r="296" spans="1:5">
      <c r="A296">
        <v>28</v>
      </c>
      <c r="B296" t="s">
        <v>95</v>
      </c>
      <c r="C296" t="s">
        <v>96</v>
      </c>
      <c r="D296" s="11">
        <v>111.68</v>
      </c>
      <c r="E296">
        <v>295</v>
      </c>
    </row>
    <row r="297" spans="1:5">
      <c r="A297">
        <v>258</v>
      </c>
      <c r="B297" t="s">
        <v>751</v>
      </c>
      <c r="C297" t="s">
        <v>752</v>
      </c>
      <c r="D297" s="11">
        <v>110.76</v>
      </c>
      <c r="E297">
        <v>296</v>
      </c>
    </row>
    <row r="298" spans="1:5">
      <c r="A298">
        <v>375</v>
      </c>
      <c r="B298" t="s">
        <v>753</v>
      </c>
      <c r="C298" t="s">
        <v>754</v>
      </c>
      <c r="D298" s="11">
        <v>110.76</v>
      </c>
      <c r="E298">
        <v>296</v>
      </c>
    </row>
    <row r="299" spans="1:5">
      <c r="A299">
        <v>417</v>
      </c>
      <c r="B299" t="s">
        <v>755</v>
      </c>
      <c r="C299" t="s">
        <v>756</v>
      </c>
      <c r="D299" s="11">
        <v>110.75</v>
      </c>
      <c r="E299">
        <v>298</v>
      </c>
    </row>
    <row r="300" spans="1:5">
      <c r="A300">
        <v>231</v>
      </c>
      <c r="B300" t="s">
        <v>757</v>
      </c>
      <c r="C300" t="s">
        <v>758</v>
      </c>
      <c r="D300" s="11">
        <v>110.74</v>
      </c>
      <c r="E300">
        <v>299</v>
      </c>
    </row>
    <row r="301" spans="1:5">
      <c r="A301">
        <v>40</v>
      </c>
      <c r="B301" t="s">
        <v>111</v>
      </c>
      <c r="C301" t="s">
        <v>112</v>
      </c>
      <c r="D301" s="11">
        <v>110.73</v>
      </c>
      <c r="E301">
        <v>300</v>
      </c>
    </row>
    <row r="302" spans="1:5">
      <c r="A302">
        <v>190</v>
      </c>
      <c r="B302" t="s">
        <v>267</v>
      </c>
      <c r="C302" t="s">
        <v>268</v>
      </c>
      <c r="D302" s="11">
        <v>110.73</v>
      </c>
      <c r="E302">
        <v>300</v>
      </c>
    </row>
    <row r="303" spans="1:5">
      <c r="A303">
        <v>90</v>
      </c>
      <c r="B303" t="s">
        <v>165</v>
      </c>
      <c r="C303" t="s">
        <v>166</v>
      </c>
      <c r="D303" s="11">
        <v>110.72</v>
      </c>
      <c r="E303">
        <v>302</v>
      </c>
    </row>
    <row r="304" spans="1:5">
      <c r="A304">
        <v>376</v>
      </c>
      <c r="B304" t="s">
        <v>455</v>
      </c>
      <c r="C304" t="s">
        <v>456</v>
      </c>
      <c r="D304" s="11">
        <v>110.72</v>
      </c>
      <c r="E304">
        <v>302</v>
      </c>
    </row>
    <row r="305" spans="1:5">
      <c r="A305">
        <v>559</v>
      </c>
      <c r="B305" t="s">
        <v>598</v>
      </c>
      <c r="C305" t="s">
        <v>599</v>
      </c>
      <c r="D305" s="11">
        <v>110.72</v>
      </c>
      <c r="E305">
        <v>302</v>
      </c>
    </row>
    <row r="306" spans="1:5">
      <c r="A306">
        <v>563</v>
      </c>
      <c r="B306" t="s">
        <v>604</v>
      </c>
      <c r="C306" t="s">
        <v>605</v>
      </c>
      <c r="D306" s="11">
        <v>110.71</v>
      </c>
      <c r="E306">
        <v>305</v>
      </c>
    </row>
    <row r="307" spans="1:5">
      <c r="A307">
        <v>135</v>
      </c>
      <c r="B307" t="s">
        <v>211</v>
      </c>
      <c r="C307" t="s">
        <v>212</v>
      </c>
      <c r="D307" s="11">
        <v>110.7</v>
      </c>
      <c r="E307">
        <v>306</v>
      </c>
    </row>
    <row r="308" spans="1:5">
      <c r="A308">
        <v>424</v>
      </c>
      <c r="B308" t="s">
        <v>497</v>
      </c>
      <c r="C308" t="s">
        <v>498</v>
      </c>
      <c r="D308" s="11">
        <v>110.7</v>
      </c>
      <c r="E308">
        <v>306</v>
      </c>
    </row>
    <row r="309" spans="1:5">
      <c r="A309">
        <v>138</v>
      </c>
      <c r="B309" t="s">
        <v>215</v>
      </c>
      <c r="C309" t="s">
        <v>216</v>
      </c>
      <c r="D309" s="11">
        <v>110.66</v>
      </c>
      <c r="E309">
        <v>308</v>
      </c>
    </row>
    <row r="310" spans="1:5">
      <c r="A310">
        <v>477</v>
      </c>
      <c r="B310" t="s">
        <v>759</v>
      </c>
      <c r="C310" t="s">
        <v>760</v>
      </c>
      <c r="D310" s="11">
        <v>109.78</v>
      </c>
      <c r="E310">
        <v>309</v>
      </c>
    </row>
    <row r="311" spans="1:5">
      <c r="A311">
        <v>155</v>
      </c>
      <c r="B311" t="s">
        <v>761</v>
      </c>
      <c r="C311" t="s">
        <v>762</v>
      </c>
      <c r="D311" s="11">
        <v>109.75</v>
      </c>
      <c r="E311">
        <v>310</v>
      </c>
    </row>
    <row r="312" spans="1:5">
      <c r="A312">
        <v>193</v>
      </c>
      <c r="B312" t="s">
        <v>763</v>
      </c>
      <c r="C312" t="s">
        <v>764</v>
      </c>
      <c r="D312" s="11">
        <v>109.75</v>
      </c>
      <c r="E312">
        <v>310</v>
      </c>
    </row>
    <row r="313" spans="1:5">
      <c r="A313">
        <v>305</v>
      </c>
      <c r="B313" t="s">
        <v>765</v>
      </c>
      <c r="C313" t="s">
        <v>766</v>
      </c>
      <c r="D313" s="11">
        <v>109.75</v>
      </c>
      <c r="E313">
        <v>310</v>
      </c>
    </row>
    <row r="314" spans="1:5">
      <c r="A314">
        <v>460</v>
      </c>
      <c r="B314" t="s">
        <v>767</v>
      </c>
      <c r="C314" t="s">
        <v>768</v>
      </c>
      <c r="D314" s="11">
        <v>109.75</v>
      </c>
      <c r="E314">
        <v>310</v>
      </c>
    </row>
    <row r="315" spans="1:5">
      <c r="A315">
        <v>562</v>
      </c>
      <c r="B315" t="s">
        <v>769</v>
      </c>
      <c r="C315" t="s">
        <v>770</v>
      </c>
      <c r="D315" s="11">
        <v>109.75</v>
      </c>
      <c r="E315">
        <v>310</v>
      </c>
    </row>
    <row r="316" spans="1:5">
      <c r="A316">
        <v>121</v>
      </c>
      <c r="B316" t="s">
        <v>771</v>
      </c>
      <c r="C316" t="s">
        <v>772</v>
      </c>
      <c r="D316" s="11">
        <v>109.74</v>
      </c>
      <c r="E316">
        <v>315</v>
      </c>
    </row>
    <row r="317" spans="1:5">
      <c r="A317">
        <v>333</v>
      </c>
      <c r="B317" t="s">
        <v>407</v>
      </c>
      <c r="C317" t="s">
        <v>408</v>
      </c>
      <c r="D317" s="11">
        <v>109.73</v>
      </c>
      <c r="E317">
        <v>316</v>
      </c>
    </row>
    <row r="318" spans="1:5">
      <c r="A318">
        <v>471</v>
      </c>
      <c r="B318" t="s">
        <v>302</v>
      </c>
      <c r="C318" t="s">
        <v>540</v>
      </c>
      <c r="D318" s="11">
        <v>109.73</v>
      </c>
      <c r="E318">
        <v>316</v>
      </c>
    </row>
    <row r="319" spans="1:5">
      <c r="A319">
        <v>290</v>
      </c>
      <c r="B319" t="s">
        <v>368</v>
      </c>
      <c r="C319" t="s">
        <v>369</v>
      </c>
      <c r="D319" s="11">
        <v>109.72</v>
      </c>
      <c r="E319">
        <v>318</v>
      </c>
    </row>
    <row r="320" spans="1:5">
      <c r="A320">
        <v>574</v>
      </c>
      <c r="B320" t="s">
        <v>614</v>
      </c>
      <c r="C320" t="s">
        <v>615</v>
      </c>
      <c r="D320" s="11">
        <v>109.72</v>
      </c>
      <c r="E320">
        <v>318</v>
      </c>
    </row>
    <row r="321" spans="1:5">
      <c r="A321">
        <v>405</v>
      </c>
      <c r="B321" t="s">
        <v>481</v>
      </c>
      <c r="C321" t="s">
        <v>482</v>
      </c>
      <c r="D321" s="11">
        <v>109.68</v>
      </c>
      <c r="E321">
        <v>320</v>
      </c>
    </row>
    <row r="322" spans="1:5">
      <c r="A322">
        <v>47</v>
      </c>
      <c r="B322" t="s">
        <v>773</v>
      </c>
      <c r="C322" t="s">
        <v>774</v>
      </c>
      <c r="D322" s="11">
        <v>108.78</v>
      </c>
      <c r="E322">
        <v>321</v>
      </c>
    </row>
    <row r="323" spans="1:5">
      <c r="A323">
        <v>541</v>
      </c>
      <c r="B323" t="s">
        <v>775</v>
      </c>
      <c r="C323" t="s">
        <v>776</v>
      </c>
      <c r="D323" s="11">
        <v>108.76</v>
      </c>
      <c r="E323">
        <v>322</v>
      </c>
    </row>
    <row r="324" spans="1:5">
      <c r="A324">
        <v>201</v>
      </c>
      <c r="B324" t="s">
        <v>777</v>
      </c>
      <c r="C324" t="s">
        <v>778</v>
      </c>
      <c r="D324" s="11">
        <v>108.75</v>
      </c>
      <c r="E324">
        <v>323</v>
      </c>
    </row>
    <row r="325" spans="1:5">
      <c r="A325">
        <v>572</v>
      </c>
      <c r="B325" t="s">
        <v>779</v>
      </c>
      <c r="C325" t="s">
        <v>780</v>
      </c>
      <c r="D325" s="11">
        <v>108.75</v>
      </c>
      <c r="E325">
        <v>323</v>
      </c>
    </row>
    <row r="326" spans="1:5">
      <c r="A326">
        <v>587</v>
      </c>
      <c r="B326" t="s">
        <v>781</v>
      </c>
      <c r="C326" t="s">
        <v>782</v>
      </c>
      <c r="D326" s="11">
        <v>108.74</v>
      </c>
      <c r="E326">
        <v>325</v>
      </c>
    </row>
    <row r="327" spans="1:5">
      <c r="A327">
        <v>145</v>
      </c>
      <c r="B327" t="s">
        <v>223</v>
      </c>
      <c r="C327" t="s">
        <v>224</v>
      </c>
      <c r="D327" s="11">
        <v>108.72</v>
      </c>
      <c r="E327">
        <v>326</v>
      </c>
    </row>
    <row r="328" spans="1:5">
      <c r="A328">
        <v>275</v>
      </c>
      <c r="B328" t="s">
        <v>346</v>
      </c>
      <c r="C328" t="s">
        <v>347</v>
      </c>
      <c r="D328" s="11">
        <v>108.7</v>
      </c>
      <c r="E328">
        <v>327</v>
      </c>
    </row>
    <row r="329" spans="1:5">
      <c r="A329">
        <v>246</v>
      </c>
      <c r="B329" t="s">
        <v>783</v>
      </c>
      <c r="C329" t="s">
        <v>784</v>
      </c>
      <c r="D329" s="11">
        <v>107.77</v>
      </c>
      <c r="E329">
        <v>328</v>
      </c>
    </row>
    <row r="330" spans="1:5">
      <c r="A330">
        <v>249</v>
      </c>
      <c r="B330" t="s">
        <v>785</v>
      </c>
      <c r="C330" t="s">
        <v>786</v>
      </c>
      <c r="D330" s="11">
        <v>107.77</v>
      </c>
      <c r="E330">
        <v>328</v>
      </c>
    </row>
    <row r="331" spans="1:5">
      <c r="A331">
        <v>127</v>
      </c>
      <c r="B331" t="s">
        <v>787</v>
      </c>
      <c r="C331" t="s">
        <v>788</v>
      </c>
      <c r="D331" s="11">
        <v>107.76</v>
      </c>
      <c r="E331">
        <v>330</v>
      </c>
    </row>
    <row r="332" spans="1:5">
      <c r="A332">
        <v>553</v>
      </c>
      <c r="B332" t="s">
        <v>789</v>
      </c>
      <c r="C332" t="s">
        <v>790</v>
      </c>
      <c r="D332" s="11">
        <v>107.76</v>
      </c>
      <c r="E332">
        <v>330</v>
      </c>
    </row>
    <row r="333" spans="1:5">
      <c r="A333">
        <v>109</v>
      </c>
      <c r="B333" t="s">
        <v>791</v>
      </c>
      <c r="C333" t="s">
        <v>792</v>
      </c>
      <c r="D333" s="11">
        <v>107.74</v>
      </c>
      <c r="E333">
        <v>332</v>
      </c>
    </row>
    <row r="334" spans="1:5">
      <c r="A334">
        <v>261</v>
      </c>
      <c r="B334" t="s">
        <v>793</v>
      </c>
      <c r="C334" t="s">
        <v>794</v>
      </c>
      <c r="D334" s="11">
        <v>107.74</v>
      </c>
      <c r="E334">
        <v>332</v>
      </c>
    </row>
    <row r="335" spans="1:5">
      <c r="A335">
        <v>581</v>
      </c>
      <c r="B335" t="s">
        <v>624</v>
      </c>
      <c r="C335" t="s">
        <v>625</v>
      </c>
      <c r="D335" s="11">
        <v>107.73</v>
      </c>
      <c r="E335">
        <v>334</v>
      </c>
    </row>
    <row r="336" spans="1:5">
      <c r="A336">
        <v>52</v>
      </c>
      <c r="B336" t="s">
        <v>125</v>
      </c>
      <c r="C336" t="s">
        <v>126</v>
      </c>
      <c r="D336" s="11">
        <v>107.71</v>
      </c>
      <c r="E336">
        <v>335</v>
      </c>
    </row>
    <row r="337" spans="1:5">
      <c r="A337">
        <v>418</v>
      </c>
      <c r="B337" t="s">
        <v>493</v>
      </c>
      <c r="C337" t="s">
        <v>494</v>
      </c>
      <c r="D337" s="11">
        <v>107.7</v>
      </c>
      <c r="E337">
        <v>336</v>
      </c>
    </row>
    <row r="338" spans="1:5">
      <c r="A338">
        <v>452</v>
      </c>
      <c r="B338" t="s">
        <v>521</v>
      </c>
      <c r="C338" t="s">
        <v>522</v>
      </c>
      <c r="D338" s="11">
        <v>107.68</v>
      </c>
      <c r="E338">
        <v>337</v>
      </c>
    </row>
    <row r="339" spans="1:5">
      <c r="A339">
        <v>341</v>
      </c>
      <c r="B339" t="s">
        <v>795</v>
      </c>
      <c r="C339" t="s">
        <v>796</v>
      </c>
      <c r="D339" s="11">
        <v>106.77</v>
      </c>
      <c r="E339">
        <v>338</v>
      </c>
    </row>
    <row r="340" spans="1:5">
      <c r="A340">
        <v>345</v>
      </c>
      <c r="B340" t="s">
        <v>797</v>
      </c>
      <c r="C340" t="s">
        <v>798</v>
      </c>
      <c r="D340" s="11">
        <v>106.77</v>
      </c>
      <c r="E340">
        <v>338</v>
      </c>
    </row>
    <row r="341" spans="1:5">
      <c r="A341">
        <v>379</v>
      </c>
      <c r="B341" t="s">
        <v>799</v>
      </c>
      <c r="C341" t="s">
        <v>800</v>
      </c>
      <c r="D341" s="11">
        <v>106.77</v>
      </c>
      <c r="E341">
        <v>338</v>
      </c>
    </row>
    <row r="342" spans="1:5">
      <c r="A342">
        <v>11</v>
      </c>
      <c r="B342" t="s">
        <v>801</v>
      </c>
      <c r="C342" t="s">
        <v>802</v>
      </c>
      <c r="D342" s="11">
        <v>106.76</v>
      </c>
      <c r="E342">
        <v>341</v>
      </c>
    </row>
    <row r="343" spans="1:5">
      <c r="A343">
        <v>98</v>
      </c>
      <c r="B343" t="s">
        <v>803</v>
      </c>
      <c r="C343" t="s">
        <v>804</v>
      </c>
      <c r="D343" s="11">
        <v>106.75</v>
      </c>
      <c r="E343">
        <v>342</v>
      </c>
    </row>
    <row r="344" spans="1:5">
      <c r="A344">
        <v>160</v>
      </c>
      <c r="B344" t="s">
        <v>239</v>
      </c>
      <c r="C344" t="s">
        <v>240</v>
      </c>
      <c r="D344" s="11">
        <v>106.73</v>
      </c>
      <c r="E344">
        <v>343</v>
      </c>
    </row>
    <row r="345" spans="1:5">
      <c r="A345">
        <v>381</v>
      </c>
      <c r="B345" t="s">
        <v>459</v>
      </c>
      <c r="C345" t="s">
        <v>460</v>
      </c>
      <c r="D345" s="11">
        <v>106.65</v>
      </c>
      <c r="E345">
        <v>344</v>
      </c>
    </row>
    <row r="346" spans="1:5">
      <c r="A346">
        <v>429</v>
      </c>
      <c r="B346" t="s">
        <v>805</v>
      </c>
      <c r="C346" t="s">
        <v>806</v>
      </c>
      <c r="D346" s="11">
        <v>105.79</v>
      </c>
      <c r="E346">
        <v>345</v>
      </c>
    </row>
    <row r="347" spans="1:5">
      <c r="A347">
        <v>150</v>
      </c>
      <c r="B347" t="s">
        <v>807</v>
      </c>
      <c r="C347" t="s">
        <v>808</v>
      </c>
      <c r="D347" s="11">
        <v>105.75</v>
      </c>
      <c r="E347">
        <v>346</v>
      </c>
    </row>
    <row r="348" spans="1:5">
      <c r="A348">
        <v>308</v>
      </c>
      <c r="B348" t="s">
        <v>74</v>
      </c>
      <c r="C348" t="s">
        <v>809</v>
      </c>
      <c r="D348" s="11">
        <v>105.75</v>
      </c>
      <c r="E348">
        <v>346</v>
      </c>
    </row>
    <row r="349" spans="1:5">
      <c r="A349">
        <v>414</v>
      </c>
      <c r="B349" t="s">
        <v>810</v>
      </c>
      <c r="C349" t="s">
        <v>811</v>
      </c>
      <c r="D349" s="11">
        <v>105.75</v>
      </c>
      <c r="E349">
        <v>346</v>
      </c>
    </row>
    <row r="350" spans="1:5">
      <c r="A350">
        <v>517</v>
      </c>
      <c r="B350" t="s">
        <v>812</v>
      </c>
      <c r="C350" t="s">
        <v>813</v>
      </c>
      <c r="D350" s="11">
        <v>105.75</v>
      </c>
      <c r="E350">
        <v>346</v>
      </c>
    </row>
    <row r="351" spans="1:5">
      <c r="A351">
        <v>96</v>
      </c>
      <c r="B351" t="s">
        <v>171</v>
      </c>
      <c r="C351" t="s">
        <v>172</v>
      </c>
      <c r="D351" s="11">
        <v>105.73</v>
      </c>
      <c r="E351">
        <v>350</v>
      </c>
    </row>
    <row r="352" spans="1:5">
      <c r="A352">
        <v>397</v>
      </c>
      <c r="B352" t="s">
        <v>474</v>
      </c>
      <c r="C352" t="s">
        <v>475</v>
      </c>
      <c r="D352" s="11">
        <v>105.71</v>
      </c>
      <c r="E352">
        <v>351</v>
      </c>
    </row>
    <row r="353" spans="1:5">
      <c r="A353">
        <v>247</v>
      </c>
      <c r="B353" t="s">
        <v>814</v>
      </c>
      <c r="C353" t="s">
        <v>815</v>
      </c>
      <c r="D353" s="11">
        <v>104.78</v>
      </c>
      <c r="E353">
        <v>352</v>
      </c>
    </row>
    <row r="354" spans="1:5">
      <c r="A354">
        <v>409</v>
      </c>
      <c r="B354" t="s">
        <v>816</v>
      </c>
      <c r="C354" t="s">
        <v>817</v>
      </c>
      <c r="D354" s="11">
        <v>104.77</v>
      </c>
      <c r="E354">
        <v>353</v>
      </c>
    </row>
    <row r="355" spans="1:5">
      <c r="A355">
        <v>466</v>
      </c>
      <c r="B355" t="s">
        <v>818</v>
      </c>
      <c r="C355" t="s">
        <v>819</v>
      </c>
      <c r="D355" s="11">
        <v>104.77</v>
      </c>
      <c r="E355">
        <v>353</v>
      </c>
    </row>
    <row r="356" spans="1:5">
      <c r="A356">
        <v>270</v>
      </c>
      <c r="B356" t="s">
        <v>820</v>
      </c>
      <c r="C356" t="s">
        <v>489</v>
      </c>
      <c r="D356" s="11">
        <v>104.75</v>
      </c>
      <c r="E356">
        <v>355</v>
      </c>
    </row>
    <row r="357" spans="1:5">
      <c r="A357">
        <v>31</v>
      </c>
      <c r="B357" t="s">
        <v>821</v>
      </c>
      <c r="C357" t="s">
        <v>822</v>
      </c>
      <c r="D357" s="11">
        <v>104.74</v>
      </c>
      <c r="E357">
        <v>356</v>
      </c>
    </row>
    <row r="358" spans="1:5">
      <c r="A358">
        <v>312</v>
      </c>
      <c r="B358" t="s">
        <v>412</v>
      </c>
      <c r="C358" t="s">
        <v>823</v>
      </c>
      <c r="D358" s="11">
        <v>104.74</v>
      </c>
      <c r="E358">
        <v>356</v>
      </c>
    </row>
    <row r="359" spans="1:5">
      <c r="A359">
        <v>425</v>
      </c>
      <c r="B359" t="s">
        <v>824</v>
      </c>
      <c r="C359" t="s">
        <v>825</v>
      </c>
      <c r="D359" s="11">
        <v>104.74</v>
      </c>
      <c r="E359">
        <v>356</v>
      </c>
    </row>
    <row r="360" spans="1:5">
      <c r="A360">
        <v>391</v>
      </c>
      <c r="B360" t="s">
        <v>468</v>
      </c>
      <c r="C360" t="s">
        <v>469</v>
      </c>
      <c r="D360" s="11">
        <v>104.7</v>
      </c>
      <c r="E360">
        <v>359</v>
      </c>
    </row>
    <row r="361" spans="1:5">
      <c r="A361">
        <v>65</v>
      </c>
      <c r="B361" t="s">
        <v>236</v>
      </c>
      <c r="C361" t="s">
        <v>826</v>
      </c>
      <c r="D361" s="11">
        <v>103.78</v>
      </c>
      <c r="E361">
        <v>360</v>
      </c>
    </row>
    <row r="362" spans="1:5">
      <c r="A362">
        <v>365</v>
      </c>
      <c r="B362" t="s">
        <v>827</v>
      </c>
      <c r="C362" t="s">
        <v>828</v>
      </c>
      <c r="D362" s="11">
        <v>103.77</v>
      </c>
      <c r="E362">
        <v>361</v>
      </c>
    </row>
    <row r="363" spans="1:5">
      <c r="A363">
        <v>519</v>
      </c>
      <c r="B363" t="s">
        <v>829</v>
      </c>
      <c r="C363" t="s">
        <v>830</v>
      </c>
      <c r="D363" s="11">
        <v>103.77</v>
      </c>
      <c r="E363">
        <v>361</v>
      </c>
    </row>
    <row r="364" spans="1:5">
      <c r="A364">
        <v>475</v>
      </c>
      <c r="B364" t="s">
        <v>831</v>
      </c>
      <c r="C364" t="s">
        <v>832</v>
      </c>
      <c r="D364" s="11">
        <v>103.76</v>
      </c>
      <c r="E364">
        <v>363</v>
      </c>
    </row>
    <row r="365" spans="1:5">
      <c r="A365">
        <v>199</v>
      </c>
      <c r="B365" t="s">
        <v>833</v>
      </c>
      <c r="C365" t="s">
        <v>834</v>
      </c>
      <c r="D365" s="11">
        <v>103.75</v>
      </c>
      <c r="E365">
        <v>364</v>
      </c>
    </row>
    <row r="366" spans="1:5">
      <c r="A366">
        <v>324</v>
      </c>
      <c r="B366" t="s">
        <v>835</v>
      </c>
      <c r="C366" t="s">
        <v>836</v>
      </c>
      <c r="D366" s="11">
        <v>103.75</v>
      </c>
      <c r="E366">
        <v>364</v>
      </c>
    </row>
    <row r="367" spans="1:5">
      <c r="A367">
        <v>537</v>
      </c>
      <c r="B367" t="s">
        <v>837</v>
      </c>
      <c r="C367" t="s">
        <v>838</v>
      </c>
      <c r="D367" s="11">
        <v>103.75</v>
      </c>
      <c r="E367">
        <v>364</v>
      </c>
    </row>
    <row r="368" spans="1:5">
      <c r="A368">
        <v>546</v>
      </c>
      <c r="B368" t="s">
        <v>148</v>
      </c>
      <c r="C368" t="s">
        <v>839</v>
      </c>
      <c r="D368" s="11">
        <v>103.75</v>
      </c>
      <c r="E368">
        <v>364</v>
      </c>
    </row>
    <row r="369" spans="1:5">
      <c r="A369">
        <v>202</v>
      </c>
      <c r="B369" t="s">
        <v>840</v>
      </c>
      <c r="C369" t="s">
        <v>841</v>
      </c>
      <c r="D369" s="11">
        <v>103.74</v>
      </c>
      <c r="E369">
        <v>368</v>
      </c>
    </row>
    <row r="370" spans="1:5">
      <c r="A370">
        <v>74</v>
      </c>
      <c r="B370" t="s">
        <v>147</v>
      </c>
      <c r="C370" t="s">
        <v>148</v>
      </c>
      <c r="D370" s="11">
        <v>103.73</v>
      </c>
      <c r="E370">
        <v>369</v>
      </c>
    </row>
    <row r="371" spans="1:5">
      <c r="A371">
        <v>282</v>
      </c>
      <c r="B371" t="s">
        <v>356</v>
      </c>
      <c r="C371" t="s">
        <v>357</v>
      </c>
      <c r="D371" s="11">
        <v>103.73</v>
      </c>
      <c r="E371">
        <v>369</v>
      </c>
    </row>
    <row r="372" spans="1:5">
      <c r="A372">
        <v>383</v>
      </c>
      <c r="B372" t="s">
        <v>82</v>
      </c>
      <c r="C372" t="s">
        <v>461</v>
      </c>
      <c r="D372" s="11">
        <v>103.73</v>
      </c>
      <c r="E372">
        <v>369</v>
      </c>
    </row>
    <row r="373" spans="1:5">
      <c r="A373">
        <v>12</v>
      </c>
      <c r="B373" t="s">
        <v>73</v>
      </c>
      <c r="C373" t="s">
        <v>74</v>
      </c>
      <c r="D373" s="11">
        <v>103.72</v>
      </c>
      <c r="E373">
        <v>372</v>
      </c>
    </row>
    <row r="374" spans="1:5">
      <c r="A374">
        <v>374</v>
      </c>
      <c r="B374" t="s">
        <v>453</v>
      </c>
      <c r="C374" t="s">
        <v>454</v>
      </c>
      <c r="D374" s="11">
        <v>103.72</v>
      </c>
      <c r="E374">
        <v>372</v>
      </c>
    </row>
    <row r="375" spans="1:5">
      <c r="A375">
        <v>100</v>
      </c>
      <c r="B375" t="s">
        <v>842</v>
      </c>
      <c r="C375" t="s">
        <v>843</v>
      </c>
      <c r="D375" s="11">
        <v>102.76</v>
      </c>
      <c r="E375">
        <v>374</v>
      </c>
    </row>
    <row r="376" spans="1:5">
      <c r="A376">
        <v>445</v>
      </c>
      <c r="B376" t="s">
        <v>844</v>
      </c>
      <c r="C376" t="s">
        <v>845</v>
      </c>
      <c r="D376" s="11">
        <v>102.74</v>
      </c>
      <c r="E376">
        <v>375</v>
      </c>
    </row>
    <row r="377" spans="1:5">
      <c r="A377">
        <v>367</v>
      </c>
      <c r="B377" t="s">
        <v>571</v>
      </c>
      <c r="C377" t="s">
        <v>846</v>
      </c>
      <c r="D377" s="11">
        <v>101.78</v>
      </c>
      <c r="E377">
        <v>376</v>
      </c>
    </row>
    <row r="378" spans="1:5">
      <c r="A378">
        <v>480</v>
      </c>
      <c r="B378" t="s">
        <v>847</v>
      </c>
      <c r="C378" t="s">
        <v>848</v>
      </c>
      <c r="D378" s="11">
        <v>101.78</v>
      </c>
      <c r="E378">
        <v>376</v>
      </c>
    </row>
    <row r="379" spans="1:5">
      <c r="A379">
        <v>554</v>
      </c>
      <c r="B379" t="s">
        <v>849</v>
      </c>
      <c r="C379" t="s">
        <v>850</v>
      </c>
      <c r="D379" s="11">
        <v>101.78</v>
      </c>
      <c r="E379">
        <v>376</v>
      </c>
    </row>
    <row r="380" spans="1:5">
      <c r="A380">
        <v>83</v>
      </c>
      <c r="B380" t="s">
        <v>851</v>
      </c>
      <c r="C380" t="s">
        <v>852</v>
      </c>
      <c r="D380" s="11">
        <v>101.75</v>
      </c>
      <c r="E380">
        <v>379</v>
      </c>
    </row>
    <row r="381" spans="1:5">
      <c r="A381">
        <v>156</v>
      </c>
      <c r="B381" t="s">
        <v>853</v>
      </c>
      <c r="C381" t="s">
        <v>854</v>
      </c>
      <c r="D381" s="11">
        <v>101.75</v>
      </c>
      <c r="E381">
        <v>379</v>
      </c>
    </row>
    <row r="382" spans="1:5">
      <c r="A382">
        <v>359</v>
      </c>
      <c r="B382" t="s">
        <v>855</v>
      </c>
      <c r="C382" t="s">
        <v>856</v>
      </c>
      <c r="D382" s="11">
        <v>101.75</v>
      </c>
      <c r="E382">
        <v>379</v>
      </c>
    </row>
    <row r="383" spans="1:5">
      <c r="A383">
        <v>219</v>
      </c>
      <c r="B383" t="s">
        <v>855</v>
      </c>
      <c r="C383" t="s">
        <v>857</v>
      </c>
      <c r="D383" s="11">
        <v>101.74</v>
      </c>
      <c r="E383">
        <v>382</v>
      </c>
    </row>
    <row r="384" spans="1:5">
      <c r="A384">
        <v>298</v>
      </c>
      <c r="B384" t="s">
        <v>858</v>
      </c>
      <c r="C384" t="s">
        <v>859</v>
      </c>
      <c r="D384" s="11">
        <v>101.74</v>
      </c>
      <c r="E384">
        <v>382</v>
      </c>
    </row>
    <row r="385" spans="1:5">
      <c r="A385">
        <v>385</v>
      </c>
      <c r="B385" t="s">
        <v>860</v>
      </c>
      <c r="C385" t="s">
        <v>861</v>
      </c>
      <c r="D385" s="11">
        <v>101.74</v>
      </c>
      <c r="E385">
        <v>382</v>
      </c>
    </row>
    <row r="386" spans="1:5">
      <c r="A386">
        <v>387</v>
      </c>
      <c r="B386" t="s">
        <v>862</v>
      </c>
      <c r="C386" t="s">
        <v>863</v>
      </c>
      <c r="D386" s="11">
        <v>101.74</v>
      </c>
      <c r="E386">
        <v>382</v>
      </c>
    </row>
    <row r="387" spans="1:5">
      <c r="A387">
        <v>509</v>
      </c>
      <c r="B387" t="s">
        <v>864</v>
      </c>
      <c r="C387" t="s">
        <v>865</v>
      </c>
      <c r="D387" s="11">
        <v>100.8</v>
      </c>
      <c r="E387">
        <v>386</v>
      </c>
    </row>
    <row r="388" spans="1:5">
      <c r="A388">
        <v>55</v>
      </c>
      <c r="B388" t="s">
        <v>866</v>
      </c>
      <c r="C388" t="s">
        <v>867</v>
      </c>
      <c r="D388" s="11">
        <v>100.78</v>
      </c>
      <c r="E388">
        <v>387</v>
      </c>
    </row>
    <row r="389" spans="1:5">
      <c r="A389">
        <v>106</v>
      </c>
      <c r="B389" t="s">
        <v>868</v>
      </c>
      <c r="C389" t="s">
        <v>769</v>
      </c>
      <c r="D389" s="11">
        <v>100.77</v>
      </c>
      <c r="E389">
        <v>388</v>
      </c>
    </row>
    <row r="390" spans="1:5">
      <c r="A390">
        <v>123</v>
      </c>
      <c r="B390" t="s">
        <v>869</v>
      </c>
      <c r="C390" t="s">
        <v>870</v>
      </c>
      <c r="D390" s="11">
        <v>100.76</v>
      </c>
      <c r="E390">
        <v>389</v>
      </c>
    </row>
    <row r="391" spans="1:5">
      <c r="A391">
        <v>456</v>
      </c>
      <c r="B391" t="s">
        <v>871</v>
      </c>
      <c r="C391" t="s">
        <v>872</v>
      </c>
      <c r="D391" s="11">
        <v>100.75</v>
      </c>
      <c r="E391">
        <v>390</v>
      </c>
    </row>
    <row r="392" spans="1:5">
      <c r="A392">
        <v>303</v>
      </c>
      <c r="B392" t="s">
        <v>873</v>
      </c>
      <c r="C392" t="s">
        <v>874</v>
      </c>
      <c r="D392" s="11">
        <v>100.74</v>
      </c>
      <c r="E392">
        <v>391</v>
      </c>
    </row>
    <row r="393" spans="1:5">
      <c r="A393">
        <v>474</v>
      </c>
      <c r="B393" t="s">
        <v>875</v>
      </c>
      <c r="C393" t="s">
        <v>876</v>
      </c>
      <c r="D393" s="11">
        <v>100.74</v>
      </c>
      <c r="E393">
        <v>391</v>
      </c>
    </row>
    <row r="394" spans="1:5">
      <c r="A394">
        <v>77</v>
      </c>
      <c r="B394" t="s">
        <v>151</v>
      </c>
      <c r="C394" t="s">
        <v>152</v>
      </c>
      <c r="D394" s="11">
        <v>100.72</v>
      </c>
      <c r="E394">
        <v>393</v>
      </c>
    </row>
    <row r="395" spans="1:5">
      <c r="A395">
        <v>361</v>
      </c>
      <c r="B395" t="s">
        <v>437</v>
      </c>
      <c r="C395" t="s">
        <v>438</v>
      </c>
      <c r="D395" s="11">
        <v>100.69</v>
      </c>
      <c r="E395">
        <v>394</v>
      </c>
    </row>
    <row r="396" spans="1:5">
      <c r="A396">
        <v>64</v>
      </c>
      <c r="B396" t="s">
        <v>139</v>
      </c>
      <c r="C396" t="s">
        <v>140</v>
      </c>
      <c r="D396" s="11">
        <v>100.67</v>
      </c>
      <c r="E396">
        <v>395</v>
      </c>
    </row>
    <row r="397" spans="1:5">
      <c r="A397">
        <v>449</v>
      </c>
      <c r="B397" t="s">
        <v>877</v>
      </c>
      <c r="C397" t="s">
        <v>878</v>
      </c>
      <c r="D397" s="11">
        <v>99.8</v>
      </c>
      <c r="E397">
        <v>396</v>
      </c>
    </row>
    <row r="398" spans="1:5">
      <c r="A398">
        <v>489</v>
      </c>
      <c r="B398" t="s">
        <v>879</v>
      </c>
      <c r="C398" t="s">
        <v>880</v>
      </c>
      <c r="D398" s="11">
        <v>99.79</v>
      </c>
      <c r="E398">
        <v>397</v>
      </c>
    </row>
    <row r="399" spans="1:5">
      <c r="A399">
        <v>67</v>
      </c>
      <c r="B399" t="s">
        <v>148</v>
      </c>
      <c r="C399" t="s">
        <v>881</v>
      </c>
      <c r="D399" s="11">
        <v>99.78</v>
      </c>
      <c r="E399">
        <v>398</v>
      </c>
    </row>
    <row r="400" spans="1:5">
      <c r="A400">
        <v>192</v>
      </c>
      <c r="B400" t="s">
        <v>882</v>
      </c>
      <c r="C400" t="s">
        <v>437</v>
      </c>
      <c r="D400" s="11">
        <v>99.77</v>
      </c>
      <c r="E400">
        <v>399</v>
      </c>
    </row>
    <row r="401" spans="1:5">
      <c r="A401">
        <v>352</v>
      </c>
      <c r="B401" t="s">
        <v>883</v>
      </c>
      <c r="C401" t="s">
        <v>884</v>
      </c>
      <c r="D401" s="11">
        <v>99.77</v>
      </c>
      <c r="E401">
        <v>399</v>
      </c>
    </row>
    <row r="402" spans="1:5">
      <c r="A402">
        <v>437</v>
      </c>
      <c r="B402" t="s">
        <v>885</v>
      </c>
      <c r="C402" t="s">
        <v>886</v>
      </c>
      <c r="D402" s="11">
        <v>99.77</v>
      </c>
      <c r="E402">
        <v>399</v>
      </c>
    </row>
    <row r="403" spans="1:5">
      <c r="A403">
        <v>547</v>
      </c>
      <c r="B403" t="s">
        <v>887</v>
      </c>
      <c r="C403" t="s">
        <v>888</v>
      </c>
      <c r="D403" s="11">
        <v>99.77</v>
      </c>
      <c r="E403">
        <v>399</v>
      </c>
    </row>
    <row r="404" spans="1:5">
      <c r="A404">
        <v>43</v>
      </c>
      <c r="B404" t="s">
        <v>889</v>
      </c>
      <c r="C404" t="s">
        <v>890</v>
      </c>
      <c r="D404" s="11">
        <v>99.76</v>
      </c>
      <c r="E404">
        <v>403</v>
      </c>
    </row>
    <row r="405" spans="1:5">
      <c r="A405">
        <v>511</v>
      </c>
      <c r="B405" t="s">
        <v>891</v>
      </c>
      <c r="C405" t="s">
        <v>892</v>
      </c>
      <c r="D405" s="11">
        <v>99.76</v>
      </c>
      <c r="E405">
        <v>403</v>
      </c>
    </row>
    <row r="406" spans="1:5">
      <c r="A406">
        <v>10</v>
      </c>
      <c r="B406" t="s">
        <v>893</v>
      </c>
      <c r="C406" t="s">
        <v>894</v>
      </c>
      <c r="D406" s="11">
        <v>99.75</v>
      </c>
      <c r="E406">
        <v>405</v>
      </c>
    </row>
    <row r="407" spans="1:5">
      <c r="A407">
        <v>597</v>
      </c>
      <c r="B407" t="s">
        <v>895</v>
      </c>
      <c r="C407" t="s">
        <v>896</v>
      </c>
      <c r="D407" s="11">
        <v>99.75</v>
      </c>
      <c r="E407">
        <v>405</v>
      </c>
    </row>
    <row r="408" spans="1:5">
      <c r="A408">
        <v>570</v>
      </c>
      <c r="B408" t="s">
        <v>897</v>
      </c>
      <c r="C408" t="s">
        <v>898</v>
      </c>
      <c r="D408" s="11">
        <v>99.74</v>
      </c>
      <c r="E408">
        <v>407</v>
      </c>
    </row>
    <row r="409" spans="1:5">
      <c r="A409">
        <v>580</v>
      </c>
      <c r="B409" t="s">
        <v>156</v>
      </c>
      <c r="C409" t="s">
        <v>623</v>
      </c>
      <c r="D409" s="11">
        <v>99.73</v>
      </c>
      <c r="E409">
        <v>408</v>
      </c>
    </row>
    <row r="410" spans="1:5">
      <c r="A410">
        <v>72</v>
      </c>
      <c r="B410" t="s">
        <v>145</v>
      </c>
      <c r="C410" t="s">
        <v>146</v>
      </c>
      <c r="D410" s="11">
        <v>99.7</v>
      </c>
      <c r="E410">
        <v>409</v>
      </c>
    </row>
    <row r="411" spans="1:5">
      <c r="A411">
        <v>272</v>
      </c>
      <c r="B411" t="s">
        <v>899</v>
      </c>
      <c r="C411" t="s">
        <v>900</v>
      </c>
      <c r="D411" s="11">
        <v>98.8</v>
      </c>
      <c r="E411">
        <v>410</v>
      </c>
    </row>
    <row r="412" spans="1:5">
      <c r="A412">
        <v>17</v>
      </c>
      <c r="B412" t="s">
        <v>901</v>
      </c>
      <c r="C412" t="s">
        <v>902</v>
      </c>
      <c r="D412" s="11">
        <v>98.79</v>
      </c>
      <c r="E412">
        <v>411</v>
      </c>
    </row>
    <row r="413" spans="1:5">
      <c r="A413">
        <v>443</v>
      </c>
      <c r="B413" t="s">
        <v>903</v>
      </c>
      <c r="C413" t="s">
        <v>904</v>
      </c>
      <c r="D413" s="11">
        <v>98.78</v>
      </c>
      <c r="E413">
        <v>412</v>
      </c>
    </row>
    <row r="414" spans="1:5">
      <c r="A414">
        <v>544</v>
      </c>
      <c r="B414" t="s">
        <v>905</v>
      </c>
      <c r="C414" t="s">
        <v>906</v>
      </c>
      <c r="D414" s="11">
        <v>98.78</v>
      </c>
      <c r="E414">
        <v>412</v>
      </c>
    </row>
    <row r="415" spans="1:5">
      <c r="A415">
        <v>180</v>
      </c>
      <c r="B415" t="s">
        <v>907</v>
      </c>
      <c r="C415" t="s">
        <v>908</v>
      </c>
      <c r="D415" s="11">
        <v>98.77</v>
      </c>
      <c r="E415">
        <v>414</v>
      </c>
    </row>
    <row r="416" spans="1:5">
      <c r="A416">
        <v>217</v>
      </c>
      <c r="B416" t="s">
        <v>909</v>
      </c>
      <c r="C416" t="s">
        <v>910</v>
      </c>
      <c r="D416" s="11">
        <v>98.77</v>
      </c>
      <c r="E416">
        <v>414</v>
      </c>
    </row>
    <row r="417" spans="1:5">
      <c r="A417">
        <v>175</v>
      </c>
      <c r="B417" t="s">
        <v>911</v>
      </c>
      <c r="C417" t="s">
        <v>912</v>
      </c>
      <c r="D417" s="11">
        <v>98.76</v>
      </c>
      <c r="E417">
        <v>416</v>
      </c>
    </row>
    <row r="418" spans="1:5">
      <c r="A418">
        <v>60</v>
      </c>
      <c r="B418" t="s">
        <v>913</v>
      </c>
      <c r="C418" t="s">
        <v>914</v>
      </c>
      <c r="D418" s="11">
        <v>98.75</v>
      </c>
      <c r="E418">
        <v>417</v>
      </c>
    </row>
    <row r="419" spans="1:5">
      <c r="A419">
        <v>264</v>
      </c>
      <c r="B419" t="s">
        <v>915</v>
      </c>
      <c r="C419" t="s">
        <v>916</v>
      </c>
      <c r="D419" s="11">
        <v>98.75</v>
      </c>
      <c r="E419">
        <v>417</v>
      </c>
    </row>
    <row r="420" spans="1:5">
      <c r="A420">
        <v>516</v>
      </c>
      <c r="B420" t="s">
        <v>917</v>
      </c>
      <c r="C420" t="s">
        <v>918</v>
      </c>
      <c r="D420" s="11">
        <v>98.74</v>
      </c>
      <c r="E420">
        <v>419</v>
      </c>
    </row>
    <row r="421" spans="1:5">
      <c r="A421">
        <v>133</v>
      </c>
      <c r="B421" t="s">
        <v>209</v>
      </c>
      <c r="C421" t="s">
        <v>210</v>
      </c>
      <c r="D421" s="11">
        <v>98.73</v>
      </c>
      <c r="E421">
        <v>420</v>
      </c>
    </row>
    <row r="422" spans="1:5">
      <c r="A422">
        <v>310</v>
      </c>
      <c r="B422" t="s">
        <v>919</v>
      </c>
      <c r="C422" t="s">
        <v>920</v>
      </c>
      <c r="D422" s="11">
        <v>97.8</v>
      </c>
      <c r="E422">
        <v>421</v>
      </c>
    </row>
    <row r="423" spans="1:5">
      <c r="A423">
        <v>505</v>
      </c>
      <c r="B423" t="s">
        <v>921</v>
      </c>
      <c r="C423" t="s">
        <v>922</v>
      </c>
      <c r="D423" s="11">
        <v>97.79</v>
      </c>
      <c r="E423">
        <v>422</v>
      </c>
    </row>
    <row r="424" spans="1:5">
      <c r="A424">
        <v>73</v>
      </c>
      <c r="B424" t="s">
        <v>923</v>
      </c>
      <c r="C424" t="s">
        <v>924</v>
      </c>
      <c r="D424" s="11">
        <v>97.76</v>
      </c>
      <c r="E424">
        <v>423</v>
      </c>
    </row>
    <row r="425" spans="1:5">
      <c r="A425">
        <v>111</v>
      </c>
      <c r="B425" t="s">
        <v>925</v>
      </c>
      <c r="C425" t="s">
        <v>926</v>
      </c>
      <c r="D425" s="11">
        <v>97.74</v>
      </c>
      <c r="E425">
        <v>424</v>
      </c>
    </row>
    <row r="426" spans="1:5">
      <c r="A426">
        <v>182</v>
      </c>
      <c r="B426" t="s">
        <v>927</v>
      </c>
      <c r="C426" t="s">
        <v>928</v>
      </c>
      <c r="D426" s="11">
        <v>97.74</v>
      </c>
      <c r="E426">
        <v>424</v>
      </c>
    </row>
    <row r="427" spans="1:5">
      <c r="A427">
        <v>422</v>
      </c>
      <c r="B427" t="s">
        <v>929</v>
      </c>
      <c r="C427" t="s">
        <v>930</v>
      </c>
      <c r="D427" s="11">
        <v>97.74</v>
      </c>
      <c r="E427">
        <v>424</v>
      </c>
    </row>
    <row r="428" spans="1:5">
      <c r="A428">
        <v>498</v>
      </c>
      <c r="B428" t="s">
        <v>560</v>
      </c>
      <c r="C428" t="s">
        <v>561</v>
      </c>
      <c r="D428" s="11">
        <v>97.73</v>
      </c>
      <c r="E428">
        <v>427</v>
      </c>
    </row>
    <row r="429" spans="1:5">
      <c r="A429">
        <v>461</v>
      </c>
      <c r="B429" t="s">
        <v>529</v>
      </c>
      <c r="C429" t="s">
        <v>530</v>
      </c>
      <c r="D429" s="11">
        <v>97.72</v>
      </c>
      <c r="E429">
        <v>428</v>
      </c>
    </row>
    <row r="430" spans="1:5">
      <c r="A430">
        <v>578</v>
      </c>
      <c r="B430" t="s">
        <v>931</v>
      </c>
      <c r="C430" t="s">
        <v>932</v>
      </c>
      <c r="D430" s="11">
        <v>96.78</v>
      </c>
      <c r="E430">
        <v>429</v>
      </c>
    </row>
    <row r="431" spans="1:5">
      <c r="A431">
        <v>101</v>
      </c>
      <c r="B431" t="s">
        <v>933</v>
      </c>
      <c r="C431" t="s">
        <v>934</v>
      </c>
      <c r="D431" s="11">
        <v>96.76</v>
      </c>
      <c r="E431">
        <v>430</v>
      </c>
    </row>
    <row r="432" spans="1:5">
      <c r="A432">
        <v>69</v>
      </c>
      <c r="B432" t="s">
        <v>935</v>
      </c>
      <c r="C432" t="s">
        <v>936</v>
      </c>
      <c r="D432" s="11">
        <v>96.75</v>
      </c>
      <c r="E432">
        <v>431</v>
      </c>
    </row>
    <row r="433" spans="1:5">
      <c r="A433">
        <v>326</v>
      </c>
      <c r="B433" t="s">
        <v>937</v>
      </c>
      <c r="C433" t="s">
        <v>407</v>
      </c>
      <c r="D433" s="11">
        <v>96.75</v>
      </c>
      <c r="E433">
        <v>431</v>
      </c>
    </row>
    <row r="434" spans="1:5">
      <c r="A434">
        <v>551</v>
      </c>
      <c r="B434" t="s">
        <v>938</v>
      </c>
      <c r="C434" t="s">
        <v>939</v>
      </c>
      <c r="D434" s="11">
        <v>96.74</v>
      </c>
      <c r="E434">
        <v>433</v>
      </c>
    </row>
    <row r="435" spans="1:5">
      <c r="A435">
        <v>561</v>
      </c>
      <c r="B435" t="s">
        <v>602</v>
      </c>
      <c r="C435" t="s">
        <v>603</v>
      </c>
      <c r="D435" s="11">
        <v>96.73</v>
      </c>
      <c r="E435">
        <v>434</v>
      </c>
    </row>
    <row r="436" spans="1:5">
      <c r="A436">
        <v>596</v>
      </c>
      <c r="B436" t="s">
        <v>638</v>
      </c>
      <c r="C436" t="s">
        <v>639</v>
      </c>
      <c r="D436" s="11">
        <v>96.72</v>
      </c>
      <c r="E436">
        <v>435</v>
      </c>
    </row>
    <row r="437" spans="1:5">
      <c r="A437">
        <v>169</v>
      </c>
      <c r="B437" t="s">
        <v>940</v>
      </c>
      <c r="C437" t="s">
        <v>941</v>
      </c>
      <c r="D437" s="11">
        <v>95.78</v>
      </c>
      <c r="E437">
        <v>436</v>
      </c>
    </row>
    <row r="438" spans="1:5">
      <c r="A438">
        <v>476</v>
      </c>
      <c r="B438" t="s">
        <v>942</v>
      </c>
      <c r="C438" t="s">
        <v>943</v>
      </c>
      <c r="D438" s="11">
        <v>95.78</v>
      </c>
      <c r="E438">
        <v>436</v>
      </c>
    </row>
    <row r="439" spans="1:5">
      <c r="A439">
        <v>488</v>
      </c>
      <c r="B439" t="s">
        <v>944</v>
      </c>
      <c r="C439" t="s">
        <v>945</v>
      </c>
      <c r="D439" s="11">
        <v>95.78</v>
      </c>
      <c r="E439">
        <v>436</v>
      </c>
    </row>
    <row r="440" spans="1:5">
      <c r="A440">
        <v>37</v>
      </c>
      <c r="B440" t="s">
        <v>946</v>
      </c>
      <c r="C440" t="s">
        <v>947</v>
      </c>
      <c r="D440" s="11">
        <v>95.77</v>
      </c>
      <c r="E440">
        <v>439</v>
      </c>
    </row>
    <row r="441" spans="1:5">
      <c r="A441">
        <v>216</v>
      </c>
      <c r="B441" t="s">
        <v>948</v>
      </c>
      <c r="C441" t="s">
        <v>949</v>
      </c>
      <c r="D441" s="11">
        <v>95.77</v>
      </c>
      <c r="E441">
        <v>439</v>
      </c>
    </row>
    <row r="442" spans="1:5">
      <c r="A442">
        <v>291</v>
      </c>
      <c r="B442" t="s">
        <v>950</v>
      </c>
      <c r="C442" t="s">
        <v>951</v>
      </c>
      <c r="D442" s="11">
        <v>95.77</v>
      </c>
      <c r="E442">
        <v>439</v>
      </c>
    </row>
    <row r="443" spans="1:5">
      <c r="A443">
        <v>364</v>
      </c>
      <c r="B443" t="s">
        <v>952</v>
      </c>
      <c r="C443" t="s">
        <v>953</v>
      </c>
      <c r="D443" s="11">
        <v>95.77</v>
      </c>
      <c r="E443">
        <v>439</v>
      </c>
    </row>
    <row r="444" spans="1:5">
      <c r="A444">
        <v>431</v>
      </c>
      <c r="B444" t="s">
        <v>954</v>
      </c>
      <c r="C444" t="s">
        <v>903</v>
      </c>
      <c r="D444" s="11">
        <v>95.77</v>
      </c>
      <c r="E444">
        <v>439</v>
      </c>
    </row>
    <row r="445" spans="1:5">
      <c r="A445">
        <v>24</v>
      </c>
      <c r="B445" t="s">
        <v>955</v>
      </c>
      <c r="C445" t="s">
        <v>495</v>
      </c>
      <c r="D445" s="11">
        <v>95.75</v>
      </c>
      <c r="E445">
        <v>444</v>
      </c>
    </row>
    <row r="446" spans="1:5">
      <c r="A446">
        <v>232</v>
      </c>
      <c r="B446" t="s">
        <v>956</v>
      </c>
      <c r="C446" t="s">
        <v>957</v>
      </c>
      <c r="D446" s="11">
        <v>95.75</v>
      </c>
      <c r="E446">
        <v>444</v>
      </c>
    </row>
    <row r="447" spans="1:5">
      <c r="A447">
        <v>507</v>
      </c>
      <c r="B447" t="s">
        <v>958</v>
      </c>
      <c r="C447" t="s">
        <v>959</v>
      </c>
      <c r="D447" s="11">
        <v>95.75</v>
      </c>
      <c r="E447">
        <v>444</v>
      </c>
    </row>
    <row r="448" spans="1:5">
      <c r="A448">
        <v>132</v>
      </c>
      <c r="B448" t="s">
        <v>207</v>
      </c>
      <c r="C448" t="s">
        <v>208</v>
      </c>
      <c r="D448" s="11">
        <v>95.72</v>
      </c>
      <c r="E448">
        <v>447</v>
      </c>
    </row>
    <row r="449" spans="1:5">
      <c r="A449">
        <v>542</v>
      </c>
      <c r="B449" t="s">
        <v>960</v>
      </c>
      <c r="C449" t="s">
        <v>961</v>
      </c>
      <c r="D449" s="11">
        <v>94.82</v>
      </c>
      <c r="E449">
        <v>448</v>
      </c>
    </row>
    <row r="450" spans="1:5">
      <c r="A450">
        <v>238</v>
      </c>
      <c r="B450" t="s">
        <v>962</v>
      </c>
      <c r="C450" t="s">
        <v>963</v>
      </c>
      <c r="D450" s="11">
        <v>94.79</v>
      </c>
      <c r="E450">
        <v>449</v>
      </c>
    </row>
    <row r="451" spans="1:5">
      <c r="A451">
        <v>68</v>
      </c>
      <c r="B451" t="s">
        <v>964</v>
      </c>
      <c r="C451" t="s">
        <v>965</v>
      </c>
      <c r="D451" s="11">
        <v>94.78</v>
      </c>
      <c r="E451">
        <v>450</v>
      </c>
    </row>
    <row r="452" spans="1:5">
      <c r="A452">
        <v>134</v>
      </c>
      <c r="B452" t="s">
        <v>966</v>
      </c>
      <c r="C452" t="s">
        <v>967</v>
      </c>
      <c r="D452" s="11">
        <v>94.77</v>
      </c>
      <c r="E452">
        <v>451</v>
      </c>
    </row>
    <row r="453" spans="1:5">
      <c r="A453">
        <v>153</v>
      </c>
      <c r="B453" t="s">
        <v>968</v>
      </c>
      <c r="C453" t="s">
        <v>969</v>
      </c>
      <c r="D453" s="11">
        <v>94.76</v>
      </c>
      <c r="E453">
        <v>452</v>
      </c>
    </row>
    <row r="454" spans="1:5">
      <c r="A454">
        <v>330</v>
      </c>
      <c r="B454" t="s">
        <v>970</v>
      </c>
      <c r="C454" t="s">
        <v>971</v>
      </c>
      <c r="D454" s="11">
        <v>94.75</v>
      </c>
      <c r="E454">
        <v>453</v>
      </c>
    </row>
    <row r="455" spans="1:5">
      <c r="A455">
        <v>142</v>
      </c>
      <c r="B455" t="s">
        <v>972</v>
      </c>
      <c r="C455" t="s">
        <v>973</v>
      </c>
      <c r="D455" s="11">
        <v>94.74</v>
      </c>
      <c r="E455">
        <v>454</v>
      </c>
    </row>
    <row r="456" spans="1:5">
      <c r="A456">
        <v>81</v>
      </c>
      <c r="B456" t="s">
        <v>974</v>
      </c>
      <c r="C456" t="s">
        <v>975</v>
      </c>
      <c r="D456" s="11">
        <v>93.78</v>
      </c>
      <c r="E456">
        <v>455</v>
      </c>
    </row>
    <row r="457" spans="1:5">
      <c r="A457">
        <v>189</v>
      </c>
      <c r="B457" t="s">
        <v>976</v>
      </c>
      <c r="C457" t="s">
        <v>977</v>
      </c>
      <c r="D457" s="11">
        <v>93.78</v>
      </c>
      <c r="E457">
        <v>455</v>
      </c>
    </row>
    <row r="458" spans="1:5">
      <c r="A458">
        <v>523</v>
      </c>
      <c r="B458" t="s">
        <v>690</v>
      </c>
      <c r="C458" t="s">
        <v>978</v>
      </c>
      <c r="D458" s="11">
        <v>93.78</v>
      </c>
      <c r="E458">
        <v>455</v>
      </c>
    </row>
    <row r="459" spans="1:5">
      <c r="A459">
        <v>415</v>
      </c>
      <c r="B459" t="s">
        <v>979</v>
      </c>
      <c r="C459" t="s">
        <v>980</v>
      </c>
      <c r="D459" s="11">
        <v>93.77</v>
      </c>
      <c r="E459">
        <v>458</v>
      </c>
    </row>
    <row r="460" spans="1:5">
      <c r="A460">
        <v>130</v>
      </c>
      <c r="B460" t="s">
        <v>981</v>
      </c>
      <c r="C460" t="s">
        <v>982</v>
      </c>
      <c r="D460" s="11">
        <v>93.76</v>
      </c>
      <c r="E460">
        <v>459</v>
      </c>
    </row>
    <row r="461" spans="1:5">
      <c r="A461">
        <v>229</v>
      </c>
      <c r="B461" t="s">
        <v>983</v>
      </c>
      <c r="C461" t="s">
        <v>984</v>
      </c>
      <c r="D461" s="11">
        <v>93.75</v>
      </c>
      <c r="E461">
        <v>460</v>
      </c>
    </row>
    <row r="462" spans="1:5">
      <c r="A462">
        <v>235</v>
      </c>
      <c r="B462" t="s">
        <v>985</v>
      </c>
      <c r="C462" t="s">
        <v>986</v>
      </c>
      <c r="D462" s="11">
        <v>93.75</v>
      </c>
      <c r="E462">
        <v>460</v>
      </c>
    </row>
    <row r="463" spans="1:5">
      <c r="A463">
        <v>377</v>
      </c>
      <c r="B463" t="s">
        <v>826</v>
      </c>
      <c r="C463" t="s">
        <v>987</v>
      </c>
      <c r="D463" s="11">
        <v>93.74</v>
      </c>
      <c r="E463">
        <v>462</v>
      </c>
    </row>
    <row r="464" spans="1:5">
      <c r="A464">
        <v>6</v>
      </c>
      <c r="B464" t="s">
        <v>69</v>
      </c>
      <c r="C464" t="s">
        <v>70</v>
      </c>
      <c r="D464" s="11">
        <v>93.72</v>
      </c>
      <c r="E464">
        <v>463</v>
      </c>
    </row>
    <row r="465" spans="1:5">
      <c r="A465">
        <v>174</v>
      </c>
      <c r="B465" t="s">
        <v>988</v>
      </c>
      <c r="C465" t="s">
        <v>989</v>
      </c>
      <c r="D465" s="11">
        <v>92.79</v>
      </c>
      <c r="E465">
        <v>464</v>
      </c>
    </row>
    <row r="466" spans="1:5">
      <c r="A466">
        <v>301</v>
      </c>
      <c r="B466" t="s">
        <v>404</v>
      </c>
      <c r="C466" t="s">
        <v>990</v>
      </c>
      <c r="D466" s="11">
        <v>92.79</v>
      </c>
      <c r="E466">
        <v>464</v>
      </c>
    </row>
    <row r="467" spans="1:5">
      <c r="A467">
        <v>8</v>
      </c>
      <c r="B467" t="s">
        <v>991</v>
      </c>
      <c r="C467" t="s">
        <v>992</v>
      </c>
      <c r="D467" s="11">
        <v>92.76</v>
      </c>
      <c r="E467">
        <v>466</v>
      </c>
    </row>
    <row r="468" spans="1:5">
      <c r="A468">
        <v>104</v>
      </c>
      <c r="B468" t="s">
        <v>993</v>
      </c>
      <c r="C468" t="s">
        <v>994</v>
      </c>
      <c r="D468" s="11">
        <v>92.76</v>
      </c>
      <c r="E468">
        <v>466</v>
      </c>
    </row>
    <row r="469" spans="1:5">
      <c r="A469">
        <v>188</v>
      </c>
      <c r="B469" t="s">
        <v>995</v>
      </c>
      <c r="C469" t="s">
        <v>996</v>
      </c>
      <c r="D469" s="11">
        <v>92.75</v>
      </c>
      <c r="E469">
        <v>468</v>
      </c>
    </row>
    <row r="470" spans="1:5">
      <c r="A470">
        <v>36</v>
      </c>
      <c r="B470" t="s">
        <v>105</v>
      </c>
      <c r="C470" t="s">
        <v>106</v>
      </c>
      <c r="D470" s="11">
        <v>92.73</v>
      </c>
      <c r="E470">
        <v>469</v>
      </c>
    </row>
    <row r="471" spans="1:5">
      <c r="A471">
        <v>151</v>
      </c>
      <c r="B471" t="s">
        <v>231</v>
      </c>
      <c r="C471" t="s">
        <v>232</v>
      </c>
      <c r="D471" s="11">
        <v>92.73</v>
      </c>
      <c r="E471">
        <v>469</v>
      </c>
    </row>
    <row r="472" spans="1:5">
      <c r="A472">
        <v>228</v>
      </c>
      <c r="B472" t="s">
        <v>297</v>
      </c>
      <c r="C472" t="s">
        <v>298</v>
      </c>
      <c r="D472" s="11">
        <v>92.73</v>
      </c>
      <c r="E472">
        <v>469</v>
      </c>
    </row>
    <row r="473" spans="1:5">
      <c r="A473">
        <v>212</v>
      </c>
      <c r="B473" t="s">
        <v>997</v>
      </c>
      <c r="C473" t="s">
        <v>998</v>
      </c>
      <c r="D473" s="11">
        <v>91.8</v>
      </c>
      <c r="E473">
        <v>472</v>
      </c>
    </row>
    <row r="474" spans="1:5">
      <c r="A474">
        <v>33</v>
      </c>
      <c r="B474" t="s">
        <v>999</v>
      </c>
      <c r="C474" t="s">
        <v>1000</v>
      </c>
      <c r="D474" s="11">
        <v>91.79</v>
      </c>
      <c r="E474">
        <v>473</v>
      </c>
    </row>
    <row r="475" spans="1:5">
      <c r="A475">
        <v>222</v>
      </c>
      <c r="B475" t="s">
        <v>1001</v>
      </c>
      <c r="C475" t="s">
        <v>1002</v>
      </c>
      <c r="D475" s="11">
        <v>91.79</v>
      </c>
      <c r="E475">
        <v>473</v>
      </c>
    </row>
    <row r="476" spans="1:5">
      <c r="A476">
        <v>399</v>
      </c>
      <c r="B476" t="s">
        <v>1003</v>
      </c>
      <c r="C476" t="s">
        <v>1004</v>
      </c>
      <c r="D476" s="11">
        <v>91.79</v>
      </c>
      <c r="E476">
        <v>473</v>
      </c>
    </row>
    <row r="477" spans="1:5">
      <c r="A477">
        <v>18</v>
      </c>
      <c r="B477" t="s">
        <v>1005</v>
      </c>
      <c r="C477" t="s">
        <v>1006</v>
      </c>
      <c r="D477" s="11">
        <v>91.78</v>
      </c>
      <c r="E477">
        <v>476</v>
      </c>
    </row>
    <row r="478" spans="1:5">
      <c r="A478">
        <v>325</v>
      </c>
      <c r="B478" t="s">
        <v>1007</v>
      </c>
      <c r="C478" t="s">
        <v>1008</v>
      </c>
      <c r="D478" s="11">
        <v>91.78</v>
      </c>
      <c r="E478">
        <v>476</v>
      </c>
    </row>
    <row r="479" spans="1:5">
      <c r="A479">
        <v>93</v>
      </c>
      <c r="B479" t="s">
        <v>1009</v>
      </c>
      <c r="C479" t="s">
        <v>1010</v>
      </c>
      <c r="D479" s="11">
        <v>91.77</v>
      </c>
      <c r="E479">
        <v>478</v>
      </c>
    </row>
    <row r="480" spans="1:5">
      <c r="A480">
        <v>392</v>
      </c>
      <c r="B480" t="s">
        <v>1011</v>
      </c>
      <c r="C480" t="s">
        <v>1012</v>
      </c>
      <c r="D480" s="11">
        <v>91.77</v>
      </c>
      <c r="E480">
        <v>478</v>
      </c>
    </row>
    <row r="481" spans="1:5">
      <c r="A481">
        <v>99</v>
      </c>
      <c r="B481" t="s">
        <v>1013</v>
      </c>
      <c r="C481" t="s">
        <v>1014</v>
      </c>
      <c r="D481" s="11">
        <v>91.76</v>
      </c>
      <c r="E481">
        <v>480</v>
      </c>
    </row>
    <row r="482" spans="1:5">
      <c r="A482">
        <v>382</v>
      </c>
      <c r="B482" t="s">
        <v>1015</v>
      </c>
      <c r="C482" t="s">
        <v>1016</v>
      </c>
      <c r="D482" s="11">
        <v>91.76</v>
      </c>
      <c r="E482">
        <v>480</v>
      </c>
    </row>
    <row r="483" spans="1:5">
      <c r="A483">
        <v>564</v>
      </c>
      <c r="B483" t="s">
        <v>1017</v>
      </c>
      <c r="C483" t="s">
        <v>1018</v>
      </c>
      <c r="D483" s="11">
        <v>91.76</v>
      </c>
      <c r="E483">
        <v>480</v>
      </c>
    </row>
    <row r="484" spans="1:5">
      <c r="A484">
        <v>435</v>
      </c>
      <c r="B484" t="s">
        <v>1019</v>
      </c>
      <c r="C484" t="s">
        <v>1020</v>
      </c>
      <c r="D484" s="11">
        <v>91.75</v>
      </c>
      <c r="E484">
        <v>483</v>
      </c>
    </row>
    <row r="485" spans="1:5">
      <c r="A485">
        <v>463</v>
      </c>
      <c r="B485" t="s">
        <v>1021</v>
      </c>
      <c r="C485" t="s">
        <v>1022</v>
      </c>
      <c r="D485" s="11">
        <v>91.75</v>
      </c>
      <c r="E485">
        <v>483</v>
      </c>
    </row>
    <row r="486" spans="1:5">
      <c r="A486">
        <v>208</v>
      </c>
      <c r="B486" t="s">
        <v>1023</v>
      </c>
      <c r="C486" t="s">
        <v>1024</v>
      </c>
      <c r="D486" s="11">
        <v>91.74</v>
      </c>
      <c r="E486">
        <v>485</v>
      </c>
    </row>
    <row r="487" spans="1:5">
      <c r="A487">
        <v>215</v>
      </c>
      <c r="B487" t="s">
        <v>588</v>
      </c>
      <c r="C487" t="s">
        <v>1025</v>
      </c>
      <c r="D487" s="11">
        <v>91.74</v>
      </c>
      <c r="E487">
        <v>485</v>
      </c>
    </row>
    <row r="488" spans="1:5">
      <c r="A488">
        <v>115</v>
      </c>
      <c r="B488" t="s">
        <v>187</v>
      </c>
      <c r="C488" t="s">
        <v>188</v>
      </c>
      <c r="D488" s="11">
        <v>91.7</v>
      </c>
      <c r="E488">
        <v>487</v>
      </c>
    </row>
    <row r="489" spans="1:5">
      <c r="A489">
        <v>552</v>
      </c>
      <c r="B489" t="s">
        <v>1026</v>
      </c>
      <c r="C489" t="s">
        <v>1027</v>
      </c>
      <c r="D489" s="11">
        <v>90.79</v>
      </c>
      <c r="E489">
        <v>488</v>
      </c>
    </row>
    <row r="490" spans="1:5">
      <c r="A490">
        <v>539</v>
      </c>
      <c r="B490" t="s">
        <v>1028</v>
      </c>
      <c r="C490" t="s">
        <v>1029</v>
      </c>
      <c r="D490" s="11">
        <v>90.78</v>
      </c>
      <c r="E490">
        <v>489</v>
      </c>
    </row>
    <row r="491" spans="1:5">
      <c r="A491">
        <v>184</v>
      </c>
      <c r="B491" t="s">
        <v>1030</v>
      </c>
      <c r="C491" t="s">
        <v>1031</v>
      </c>
      <c r="D491" s="11">
        <v>90.77</v>
      </c>
      <c r="E491">
        <v>490</v>
      </c>
    </row>
    <row r="492" spans="1:5">
      <c r="A492">
        <v>328</v>
      </c>
      <c r="B492" t="s">
        <v>1032</v>
      </c>
      <c r="C492" t="s">
        <v>1033</v>
      </c>
      <c r="D492" s="11">
        <v>90.77</v>
      </c>
      <c r="E492">
        <v>490</v>
      </c>
    </row>
    <row r="493" spans="1:5">
      <c r="A493">
        <v>501</v>
      </c>
      <c r="B493" t="s">
        <v>1034</v>
      </c>
      <c r="C493" t="s">
        <v>1035</v>
      </c>
      <c r="D493" s="11">
        <v>89.79</v>
      </c>
      <c r="E493">
        <v>492</v>
      </c>
    </row>
    <row r="494" spans="1:5">
      <c r="A494">
        <v>545</v>
      </c>
      <c r="B494" t="s">
        <v>1036</v>
      </c>
      <c r="C494" t="s">
        <v>1037</v>
      </c>
      <c r="D494" s="11">
        <v>89.79</v>
      </c>
      <c r="E494">
        <v>492</v>
      </c>
    </row>
    <row r="495" spans="1:5">
      <c r="A495">
        <v>143</v>
      </c>
      <c r="B495" t="s">
        <v>572</v>
      </c>
      <c r="C495" t="s">
        <v>538</v>
      </c>
      <c r="D495" s="11">
        <v>89.78</v>
      </c>
      <c r="E495">
        <v>494</v>
      </c>
    </row>
    <row r="496" spans="1:5">
      <c r="A496">
        <v>9</v>
      </c>
      <c r="B496" t="s">
        <v>1038</v>
      </c>
      <c r="C496" t="s">
        <v>1039</v>
      </c>
      <c r="D496" s="11">
        <v>89.77</v>
      </c>
      <c r="E496">
        <v>495</v>
      </c>
    </row>
    <row r="497" spans="1:5">
      <c r="A497">
        <v>233</v>
      </c>
      <c r="B497" t="s">
        <v>1040</v>
      </c>
      <c r="C497" t="s">
        <v>1041</v>
      </c>
      <c r="D497" s="11">
        <v>89.77</v>
      </c>
      <c r="E497">
        <v>495</v>
      </c>
    </row>
    <row r="498" spans="1:5">
      <c r="A498">
        <v>313</v>
      </c>
      <c r="B498" t="s">
        <v>1042</v>
      </c>
      <c r="C498" t="s">
        <v>1043</v>
      </c>
      <c r="D498" s="11">
        <v>89.77</v>
      </c>
      <c r="E498">
        <v>495</v>
      </c>
    </row>
    <row r="499" spans="1:5">
      <c r="A499">
        <v>34</v>
      </c>
      <c r="B499" t="s">
        <v>1044</v>
      </c>
      <c r="C499" t="s">
        <v>970</v>
      </c>
      <c r="D499" s="11">
        <v>89.76</v>
      </c>
      <c r="E499">
        <v>498</v>
      </c>
    </row>
    <row r="500" spans="1:5">
      <c r="A500">
        <v>351</v>
      </c>
      <c r="B500" t="s">
        <v>1045</v>
      </c>
      <c r="C500" t="s">
        <v>1046</v>
      </c>
      <c r="D500" s="11">
        <v>89.76</v>
      </c>
      <c r="E500">
        <v>498</v>
      </c>
    </row>
    <row r="501" spans="1:5">
      <c r="A501">
        <v>384</v>
      </c>
      <c r="B501" t="s">
        <v>1047</v>
      </c>
      <c r="C501" t="s">
        <v>1048</v>
      </c>
      <c r="D501" s="11">
        <v>89.75</v>
      </c>
      <c r="E501">
        <v>500</v>
      </c>
    </row>
    <row r="502" spans="1:5">
      <c r="A502">
        <v>419</v>
      </c>
      <c r="B502" t="s">
        <v>1049</v>
      </c>
      <c r="C502" t="s">
        <v>1050</v>
      </c>
      <c r="D502" s="11">
        <v>89.75</v>
      </c>
      <c r="E502">
        <v>500</v>
      </c>
    </row>
    <row r="503" spans="1:5">
      <c r="A503">
        <v>357</v>
      </c>
      <c r="B503" t="s">
        <v>1051</v>
      </c>
      <c r="C503" t="s">
        <v>1052</v>
      </c>
      <c r="D503" s="11">
        <v>89.74</v>
      </c>
      <c r="E503">
        <v>502</v>
      </c>
    </row>
    <row r="504" spans="1:5">
      <c r="A504">
        <v>450</v>
      </c>
      <c r="B504" t="s">
        <v>1053</v>
      </c>
      <c r="C504" t="s">
        <v>1054</v>
      </c>
      <c r="D504" s="11">
        <v>89.74</v>
      </c>
      <c r="E504">
        <v>502</v>
      </c>
    </row>
    <row r="505" spans="1:5">
      <c r="A505">
        <v>483</v>
      </c>
      <c r="B505" t="s">
        <v>1055</v>
      </c>
      <c r="C505" t="s">
        <v>1056</v>
      </c>
      <c r="D505" s="11">
        <v>88.82</v>
      </c>
      <c r="E505">
        <v>504</v>
      </c>
    </row>
    <row r="506" spans="1:5">
      <c r="A506">
        <v>203</v>
      </c>
      <c r="B506" t="s">
        <v>1057</v>
      </c>
      <c r="C506" t="s">
        <v>425</v>
      </c>
      <c r="D506" s="11">
        <v>88.8</v>
      </c>
      <c r="E506">
        <v>505</v>
      </c>
    </row>
    <row r="507" spans="1:5">
      <c r="A507">
        <v>496</v>
      </c>
      <c r="B507" t="s">
        <v>1058</v>
      </c>
      <c r="C507" t="s">
        <v>1059</v>
      </c>
      <c r="D507" s="11">
        <v>88.79</v>
      </c>
      <c r="E507">
        <v>506</v>
      </c>
    </row>
    <row r="508" spans="1:5">
      <c r="A508">
        <v>440</v>
      </c>
      <c r="B508" t="s">
        <v>1060</v>
      </c>
      <c r="C508" t="s">
        <v>1061</v>
      </c>
      <c r="D508" s="11">
        <v>88.78</v>
      </c>
      <c r="E508">
        <v>507</v>
      </c>
    </row>
    <row r="509" spans="1:5">
      <c r="A509">
        <v>534</v>
      </c>
      <c r="B509" t="s">
        <v>1062</v>
      </c>
      <c r="C509" t="s">
        <v>1063</v>
      </c>
      <c r="D509" s="11">
        <v>88.76</v>
      </c>
      <c r="E509">
        <v>508</v>
      </c>
    </row>
    <row r="510" spans="1:5">
      <c r="A510">
        <v>369</v>
      </c>
      <c r="B510" t="s">
        <v>1064</v>
      </c>
      <c r="C510" t="s">
        <v>1065</v>
      </c>
      <c r="D510" s="11">
        <v>88.75</v>
      </c>
      <c r="E510">
        <v>509</v>
      </c>
    </row>
    <row r="511" spans="1:5">
      <c r="A511">
        <v>278</v>
      </c>
      <c r="B511" t="s">
        <v>1066</v>
      </c>
      <c r="C511" t="s">
        <v>1067</v>
      </c>
      <c r="D511" s="11">
        <v>88.74</v>
      </c>
      <c r="E511">
        <v>510</v>
      </c>
    </row>
    <row r="512" spans="1:5">
      <c r="A512">
        <v>194</v>
      </c>
      <c r="B512" t="s">
        <v>1068</v>
      </c>
      <c r="C512" t="s">
        <v>1069</v>
      </c>
      <c r="D512" s="11">
        <v>87.82</v>
      </c>
      <c r="E512">
        <v>511</v>
      </c>
    </row>
    <row r="513" spans="1:5">
      <c r="A513">
        <v>524</v>
      </c>
      <c r="B513" t="s">
        <v>1070</v>
      </c>
      <c r="C513" t="s">
        <v>1071</v>
      </c>
      <c r="D513" s="11">
        <v>87.81</v>
      </c>
      <c r="E513">
        <v>512</v>
      </c>
    </row>
    <row r="514" spans="1:5">
      <c r="A514">
        <v>88</v>
      </c>
      <c r="B514" t="s">
        <v>1072</v>
      </c>
      <c r="C514" t="s">
        <v>1073</v>
      </c>
      <c r="D514" s="11">
        <v>87.79</v>
      </c>
      <c r="E514">
        <v>513</v>
      </c>
    </row>
    <row r="515" spans="1:5">
      <c r="A515">
        <v>226</v>
      </c>
      <c r="B515" t="s">
        <v>1074</v>
      </c>
      <c r="C515" t="s">
        <v>1075</v>
      </c>
      <c r="D515" s="11">
        <v>87.79</v>
      </c>
      <c r="E515">
        <v>513</v>
      </c>
    </row>
    <row r="516" spans="1:5">
      <c r="A516">
        <v>85</v>
      </c>
      <c r="B516" t="s">
        <v>1076</v>
      </c>
      <c r="C516" t="s">
        <v>1077</v>
      </c>
      <c r="D516" s="11">
        <v>87.77</v>
      </c>
      <c r="E516">
        <v>515</v>
      </c>
    </row>
    <row r="517" spans="1:5">
      <c r="A517">
        <v>227</v>
      </c>
      <c r="B517" t="s">
        <v>1078</v>
      </c>
      <c r="C517" t="s">
        <v>1079</v>
      </c>
      <c r="D517" s="11">
        <v>87.76</v>
      </c>
      <c r="E517">
        <v>516</v>
      </c>
    </row>
    <row r="518" spans="1:5">
      <c r="A518">
        <v>455</v>
      </c>
      <c r="B518" t="s">
        <v>1080</v>
      </c>
      <c r="C518" t="s">
        <v>1081</v>
      </c>
      <c r="D518" s="11">
        <v>87.76</v>
      </c>
      <c r="E518">
        <v>516</v>
      </c>
    </row>
    <row r="519" spans="1:5">
      <c r="A519">
        <v>195</v>
      </c>
      <c r="B519" t="s">
        <v>1082</v>
      </c>
      <c r="C519" t="s">
        <v>1083</v>
      </c>
      <c r="D519" s="11">
        <v>86.81</v>
      </c>
      <c r="E519">
        <v>518</v>
      </c>
    </row>
    <row r="520" spans="1:5">
      <c r="A520">
        <v>478</v>
      </c>
      <c r="B520" t="s">
        <v>88</v>
      </c>
      <c r="C520" t="s">
        <v>1084</v>
      </c>
      <c r="D520" s="11">
        <v>86.81</v>
      </c>
      <c r="E520">
        <v>518</v>
      </c>
    </row>
    <row r="521" spans="1:5">
      <c r="A521">
        <v>165</v>
      </c>
      <c r="B521" t="s">
        <v>1085</v>
      </c>
      <c r="C521" t="s">
        <v>1086</v>
      </c>
      <c r="D521" s="11">
        <v>86.79</v>
      </c>
      <c r="E521">
        <v>520</v>
      </c>
    </row>
    <row r="522" spans="1:5">
      <c r="A522">
        <v>283</v>
      </c>
      <c r="B522" t="s">
        <v>358</v>
      </c>
      <c r="C522" t="s">
        <v>359</v>
      </c>
      <c r="D522" s="11">
        <v>86.72</v>
      </c>
      <c r="E522">
        <v>521</v>
      </c>
    </row>
    <row r="523" spans="1:5">
      <c r="A523">
        <v>567</v>
      </c>
      <c r="B523" t="s">
        <v>1087</v>
      </c>
      <c r="C523" t="s">
        <v>1088</v>
      </c>
      <c r="D523" s="11">
        <v>85.8</v>
      </c>
      <c r="E523">
        <v>522</v>
      </c>
    </row>
    <row r="524" spans="1:5">
      <c r="A524">
        <v>412</v>
      </c>
      <c r="B524" t="s">
        <v>94</v>
      </c>
      <c r="C524" t="s">
        <v>1089</v>
      </c>
      <c r="D524" s="11">
        <v>85.79</v>
      </c>
      <c r="E524">
        <v>523</v>
      </c>
    </row>
    <row r="525" spans="1:5">
      <c r="A525">
        <v>315</v>
      </c>
      <c r="B525" t="s">
        <v>1090</v>
      </c>
      <c r="C525" t="s">
        <v>1091</v>
      </c>
      <c r="D525" s="11">
        <v>84.83</v>
      </c>
      <c r="E525">
        <v>524</v>
      </c>
    </row>
    <row r="526" spans="1:5">
      <c r="A526">
        <v>79</v>
      </c>
      <c r="B526" t="s">
        <v>1092</v>
      </c>
      <c r="C526" t="s">
        <v>1093</v>
      </c>
      <c r="D526" s="11">
        <v>84.78</v>
      </c>
      <c r="E526">
        <v>525</v>
      </c>
    </row>
    <row r="527" spans="1:5">
      <c r="A527">
        <v>394</v>
      </c>
      <c r="B527" t="s">
        <v>1094</v>
      </c>
      <c r="C527" t="s">
        <v>1095</v>
      </c>
      <c r="D527" s="11">
        <v>84.78</v>
      </c>
      <c r="E527">
        <v>525</v>
      </c>
    </row>
    <row r="528" spans="1:5">
      <c r="A528">
        <v>62</v>
      </c>
      <c r="B528" t="s">
        <v>1096</v>
      </c>
      <c r="C528" t="s">
        <v>1097</v>
      </c>
      <c r="D528" s="11">
        <v>84.77</v>
      </c>
      <c r="E528">
        <v>527</v>
      </c>
    </row>
    <row r="529" spans="1:5">
      <c r="A529">
        <v>185</v>
      </c>
      <c r="B529" t="s">
        <v>1098</v>
      </c>
      <c r="C529" t="s">
        <v>1099</v>
      </c>
      <c r="D529" s="11">
        <v>84.77</v>
      </c>
      <c r="E529">
        <v>527</v>
      </c>
    </row>
    <row r="530" spans="1:5">
      <c r="A530">
        <v>140</v>
      </c>
      <c r="B530" t="s">
        <v>1100</v>
      </c>
      <c r="C530" t="s">
        <v>1101</v>
      </c>
      <c r="D530" s="11">
        <v>83.82</v>
      </c>
      <c r="E530">
        <v>529</v>
      </c>
    </row>
    <row r="531" spans="1:5">
      <c r="A531">
        <v>599</v>
      </c>
      <c r="B531" t="s">
        <v>270</v>
      </c>
      <c r="C531" t="s">
        <v>1102</v>
      </c>
      <c r="D531" s="11">
        <v>83.81</v>
      </c>
      <c r="E531">
        <v>530</v>
      </c>
    </row>
    <row r="532" spans="1:5">
      <c r="A532">
        <v>152</v>
      </c>
      <c r="B532" t="s">
        <v>1103</v>
      </c>
      <c r="C532" t="s">
        <v>1104</v>
      </c>
      <c r="D532" s="11">
        <v>83.79</v>
      </c>
      <c r="E532">
        <v>531</v>
      </c>
    </row>
    <row r="533" spans="1:5">
      <c r="A533">
        <v>556</v>
      </c>
      <c r="B533" t="s">
        <v>1105</v>
      </c>
      <c r="C533" t="s">
        <v>1106</v>
      </c>
      <c r="D533" s="11">
        <v>83.79</v>
      </c>
      <c r="E533">
        <v>531</v>
      </c>
    </row>
    <row r="534" spans="1:5">
      <c r="A534">
        <v>598</v>
      </c>
      <c r="B534" t="s">
        <v>337</v>
      </c>
      <c r="C534" t="s">
        <v>1107</v>
      </c>
      <c r="D534" s="11">
        <v>83.78</v>
      </c>
      <c r="E534">
        <v>533</v>
      </c>
    </row>
    <row r="535" spans="1:5">
      <c r="A535">
        <v>118</v>
      </c>
      <c r="B535" t="s">
        <v>1041</v>
      </c>
      <c r="C535" t="s">
        <v>1108</v>
      </c>
      <c r="D535" s="11">
        <v>82.79</v>
      </c>
      <c r="E535">
        <v>534</v>
      </c>
    </row>
    <row r="536" spans="1:5">
      <c r="A536">
        <v>543</v>
      </c>
      <c r="B536" t="s">
        <v>1109</v>
      </c>
      <c r="C536" t="s">
        <v>1110</v>
      </c>
      <c r="D536" s="11">
        <v>82.78</v>
      </c>
      <c r="E536">
        <v>535</v>
      </c>
    </row>
    <row r="537" spans="1:5">
      <c r="A537">
        <v>243</v>
      </c>
      <c r="B537" t="s">
        <v>1111</v>
      </c>
      <c r="C537" t="s">
        <v>1112</v>
      </c>
      <c r="D537" s="11">
        <v>82.76</v>
      </c>
      <c r="E537">
        <v>536</v>
      </c>
    </row>
    <row r="538" spans="1:5">
      <c r="A538">
        <v>4</v>
      </c>
      <c r="B538" t="s">
        <v>1113</v>
      </c>
      <c r="C538" t="s">
        <v>1114</v>
      </c>
      <c r="D538" s="11">
        <v>81.78</v>
      </c>
      <c r="E538">
        <v>537</v>
      </c>
    </row>
    <row r="539" spans="1:5">
      <c r="A539">
        <v>527</v>
      </c>
      <c r="B539" t="s">
        <v>1115</v>
      </c>
      <c r="C539" t="s">
        <v>1116</v>
      </c>
      <c r="D539" s="11">
        <v>81.760000000000005</v>
      </c>
      <c r="E539">
        <v>538</v>
      </c>
    </row>
    <row r="540" spans="1:5">
      <c r="A540">
        <v>223</v>
      </c>
      <c r="B540" t="s">
        <v>1117</v>
      </c>
      <c r="C540" t="s">
        <v>1118</v>
      </c>
      <c r="D540" s="11">
        <v>80.83</v>
      </c>
      <c r="E540">
        <v>539</v>
      </c>
    </row>
    <row r="541" spans="1:5">
      <c r="A541">
        <v>70</v>
      </c>
      <c r="B541" t="s">
        <v>1119</v>
      </c>
      <c r="C541" t="s">
        <v>1120</v>
      </c>
      <c r="D541" s="11">
        <v>80.819999999999993</v>
      </c>
      <c r="E541">
        <v>540</v>
      </c>
    </row>
    <row r="542" spans="1:5">
      <c r="A542">
        <v>205</v>
      </c>
      <c r="B542" t="s">
        <v>1121</v>
      </c>
      <c r="C542" t="s">
        <v>1122</v>
      </c>
      <c r="D542" s="11">
        <v>80.819999999999993</v>
      </c>
      <c r="E542">
        <v>540</v>
      </c>
    </row>
    <row r="543" spans="1:5">
      <c r="A543">
        <v>358</v>
      </c>
      <c r="B543" t="s">
        <v>1123</v>
      </c>
      <c r="C543" t="s">
        <v>1124</v>
      </c>
      <c r="D543" s="11">
        <v>80.790000000000006</v>
      </c>
      <c r="E543">
        <v>542</v>
      </c>
    </row>
    <row r="544" spans="1:5">
      <c r="A544">
        <v>521</v>
      </c>
      <c r="B544" t="s">
        <v>1125</v>
      </c>
      <c r="C544" t="s">
        <v>1126</v>
      </c>
      <c r="D544" s="11">
        <v>80.77</v>
      </c>
      <c r="E544">
        <v>543</v>
      </c>
    </row>
    <row r="545" spans="1:5">
      <c r="A545">
        <v>288</v>
      </c>
      <c r="B545" t="s">
        <v>1127</v>
      </c>
      <c r="C545" t="s">
        <v>464</v>
      </c>
      <c r="D545" s="11">
        <v>80.760000000000005</v>
      </c>
      <c r="E545">
        <v>544</v>
      </c>
    </row>
    <row r="546" spans="1:5">
      <c r="A546">
        <v>411</v>
      </c>
      <c r="B546" t="s">
        <v>1128</v>
      </c>
      <c r="C546" t="s">
        <v>1129</v>
      </c>
      <c r="D546" s="11">
        <v>80.739999999999995</v>
      </c>
      <c r="E546">
        <v>545</v>
      </c>
    </row>
    <row r="547" spans="1:5">
      <c r="A547">
        <v>548</v>
      </c>
      <c r="B547" t="s">
        <v>1130</v>
      </c>
      <c r="C547" t="s">
        <v>1131</v>
      </c>
      <c r="D547" s="11">
        <v>79.81</v>
      </c>
      <c r="E547">
        <v>546</v>
      </c>
    </row>
    <row r="548" spans="1:5">
      <c r="A548">
        <v>402</v>
      </c>
      <c r="B548" t="s">
        <v>1132</v>
      </c>
      <c r="C548" t="s">
        <v>1133</v>
      </c>
      <c r="D548" s="11">
        <v>79.8</v>
      </c>
      <c r="E548">
        <v>547</v>
      </c>
    </row>
    <row r="549" spans="1:5">
      <c r="A549">
        <v>94</v>
      </c>
      <c r="B549" t="s">
        <v>1134</v>
      </c>
      <c r="C549" t="s">
        <v>1135</v>
      </c>
      <c r="D549" s="11">
        <v>79.790000000000006</v>
      </c>
      <c r="E549">
        <v>548</v>
      </c>
    </row>
    <row r="550" spans="1:5">
      <c r="A550">
        <v>420</v>
      </c>
      <c r="B550" t="s">
        <v>1136</v>
      </c>
      <c r="C550" t="s">
        <v>1109</v>
      </c>
      <c r="D550" s="11">
        <v>79.790000000000006</v>
      </c>
      <c r="E550">
        <v>548</v>
      </c>
    </row>
    <row r="551" spans="1:5">
      <c r="A551">
        <v>430</v>
      </c>
      <c r="B551" t="s">
        <v>254</v>
      </c>
      <c r="C551" t="s">
        <v>1137</v>
      </c>
      <c r="D551" s="11">
        <v>79.78</v>
      </c>
      <c r="E551">
        <v>550</v>
      </c>
    </row>
    <row r="552" spans="1:5">
      <c r="A552">
        <v>398</v>
      </c>
      <c r="B552" t="s">
        <v>1138</v>
      </c>
      <c r="C552" t="s">
        <v>1139</v>
      </c>
      <c r="D552" s="11">
        <v>78.84</v>
      </c>
      <c r="E552">
        <v>551</v>
      </c>
    </row>
    <row r="553" spans="1:5">
      <c r="A553">
        <v>428</v>
      </c>
      <c r="B553" t="s">
        <v>1140</v>
      </c>
      <c r="C553" t="s">
        <v>1141</v>
      </c>
      <c r="D553" s="11">
        <v>78.8</v>
      </c>
      <c r="E553">
        <v>552</v>
      </c>
    </row>
    <row r="554" spans="1:5">
      <c r="A554">
        <v>335</v>
      </c>
      <c r="B554" t="s">
        <v>361</v>
      </c>
      <c r="C554" t="s">
        <v>1142</v>
      </c>
      <c r="D554" s="11">
        <v>78.77</v>
      </c>
      <c r="E554">
        <v>553</v>
      </c>
    </row>
    <row r="555" spans="1:5">
      <c r="A555">
        <v>95</v>
      </c>
      <c r="B555" t="s">
        <v>1143</v>
      </c>
      <c r="C555" t="s">
        <v>1144</v>
      </c>
      <c r="D555" s="11">
        <v>77.819999999999993</v>
      </c>
      <c r="E555">
        <v>554</v>
      </c>
    </row>
    <row r="556" spans="1:5">
      <c r="A556">
        <v>549</v>
      </c>
      <c r="B556" t="s">
        <v>110</v>
      </c>
      <c r="C556" t="s">
        <v>1145</v>
      </c>
      <c r="D556" s="11">
        <v>77.8</v>
      </c>
      <c r="E556">
        <v>555</v>
      </c>
    </row>
    <row r="557" spans="1:5">
      <c r="A557">
        <v>76</v>
      </c>
      <c r="B557" t="s">
        <v>1146</v>
      </c>
      <c r="C557" t="s">
        <v>1147</v>
      </c>
      <c r="D557" s="11">
        <v>77.77</v>
      </c>
      <c r="E557">
        <v>556</v>
      </c>
    </row>
    <row r="558" spans="1:5">
      <c r="A558">
        <v>48</v>
      </c>
      <c r="B558" t="s">
        <v>1148</v>
      </c>
      <c r="C558" t="s">
        <v>1149</v>
      </c>
      <c r="D558" s="11">
        <v>76.83</v>
      </c>
      <c r="E558">
        <v>557</v>
      </c>
    </row>
    <row r="559" spans="1:5">
      <c r="A559">
        <v>224</v>
      </c>
      <c r="B559" t="s">
        <v>1150</v>
      </c>
      <c r="C559" t="s">
        <v>1151</v>
      </c>
      <c r="D559" s="11">
        <v>76.78</v>
      </c>
      <c r="E559">
        <v>558</v>
      </c>
    </row>
    <row r="560" spans="1:5">
      <c r="A560">
        <v>183</v>
      </c>
      <c r="B560" t="s">
        <v>1152</v>
      </c>
      <c r="C560" t="s">
        <v>1153</v>
      </c>
      <c r="D560" s="11">
        <v>76.77</v>
      </c>
      <c r="E560">
        <v>559</v>
      </c>
    </row>
    <row r="561" spans="1:5">
      <c r="A561">
        <v>530</v>
      </c>
      <c r="B561" t="s">
        <v>1154</v>
      </c>
      <c r="C561" t="s">
        <v>1155</v>
      </c>
      <c r="D561" s="11">
        <v>76.77</v>
      </c>
      <c r="E561">
        <v>559</v>
      </c>
    </row>
    <row r="562" spans="1:5">
      <c r="A562">
        <v>413</v>
      </c>
      <c r="B562" t="s">
        <v>1156</v>
      </c>
      <c r="C562" t="s">
        <v>1157</v>
      </c>
      <c r="D562" s="11">
        <v>75.790000000000006</v>
      </c>
      <c r="E562">
        <v>561</v>
      </c>
    </row>
    <row r="563" spans="1:5">
      <c r="A563">
        <v>555</v>
      </c>
      <c r="B563" t="s">
        <v>1158</v>
      </c>
      <c r="C563" t="s">
        <v>1159</v>
      </c>
      <c r="D563" s="11">
        <v>74.83</v>
      </c>
      <c r="E563">
        <v>562</v>
      </c>
    </row>
    <row r="564" spans="1:5">
      <c r="A564">
        <v>525</v>
      </c>
      <c r="B564" t="s">
        <v>1160</v>
      </c>
      <c r="C564" t="s">
        <v>1161</v>
      </c>
      <c r="D564" s="11">
        <v>74.81</v>
      </c>
      <c r="E564">
        <v>563</v>
      </c>
    </row>
    <row r="565" spans="1:5">
      <c r="A565">
        <v>191</v>
      </c>
      <c r="B565" t="s">
        <v>1162</v>
      </c>
      <c r="C565" t="s">
        <v>1163</v>
      </c>
      <c r="D565" s="11">
        <v>74.8</v>
      </c>
      <c r="E565">
        <v>564</v>
      </c>
    </row>
    <row r="566" spans="1:5">
      <c r="A566">
        <v>514</v>
      </c>
      <c r="B566" t="s">
        <v>834</v>
      </c>
      <c r="C566" t="s">
        <v>1164</v>
      </c>
      <c r="D566" s="11">
        <v>74.78</v>
      </c>
      <c r="E566">
        <v>565</v>
      </c>
    </row>
    <row r="567" spans="1:5">
      <c r="A567">
        <v>464</v>
      </c>
      <c r="B567" t="s">
        <v>1165</v>
      </c>
      <c r="C567" t="s">
        <v>1166</v>
      </c>
      <c r="D567" s="11">
        <v>73.84</v>
      </c>
      <c r="E567">
        <v>566</v>
      </c>
    </row>
    <row r="568" spans="1:5">
      <c r="A568">
        <v>124</v>
      </c>
      <c r="B568" t="s">
        <v>1167</v>
      </c>
      <c r="C568" t="s">
        <v>1168</v>
      </c>
      <c r="D568" s="11">
        <v>73.819999999999993</v>
      </c>
      <c r="E568">
        <v>567</v>
      </c>
    </row>
    <row r="569" spans="1:5">
      <c r="A569">
        <v>344</v>
      </c>
      <c r="B569" t="s">
        <v>210</v>
      </c>
      <c r="C569" t="s">
        <v>1169</v>
      </c>
      <c r="D569" s="11">
        <v>73.819999999999993</v>
      </c>
      <c r="E569">
        <v>567</v>
      </c>
    </row>
    <row r="570" spans="1:5">
      <c r="A570">
        <v>250</v>
      </c>
      <c r="B570" t="s">
        <v>1170</v>
      </c>
      <c r="C570" t="s">
        <v>1171</v>
      </c>
      <c r="D570" s="11">
        <v>73.8</v>
      </c>
      <c r="E570">
        <v>569</v>
      </c>
    </row>
    <row r="571" spans="1:5">
      <c r="A571">
        <v>401</v>
      </c>
      <c r="B571" t="s">
        <v>1172</v>
      </c>
      <c r="C571" t="s">
        <v>1173</v>
      </c>
      <c r="D571" s="11">
        <v>73.790000000000006</v>
      </c>
      <c r="E571">
        <v>570</v>
      </c>
    </row>
    <row r="572" spans="1:5">
      <c r="A572">
        <v>350</v>
      </c>
      <c r="B572" t="s">
        <v>1174</v>
      </c>
      <c r="C572" t="s">
        <v>1175</v>
      </c>
      <c r="D572" s="11">
        <v>73.77</v>
      </c>
      <c r="E572">
        <v>571</v>
      </c>
    </row>
    <row r="573" spans="1:5">
      <c r="A573">
        <v>557</v>
      </c>
      <c r="B573" t="s">
        <v>1176</v>
      </c>
      <c r="C573" t="s">
        <v>1177</v>
      </c>
      <c r="D573" s="11">
        <v>73.760000000000005</v>
      </c>
      <c r="E573">
        <v>572</v>
      </c>
    </row>
    <row r="574" spans="1:5">
      <c r="A574">
        <v>353</v>
      </c>
      <c r="B574" t="s">
        <v>1178</v>
      </c>
      <c r="C574" t="s">
        <v>1179</v>
      </c>
      <c r="D574" s="11">
        <v>72.819999999999993</v>
      </c>
      <c r="E574">
        <v>573</v>
      </c>
    </row>
    <row r="575" spans="1:5">
      <c r="A575">
        <v>355</v>
      </c>
      <c r="B575" t="s">
        <v>317</v>
      </c>
      <c r="C575" t="s">
        <v>1180</v>
      </c>
      <c r="D575" s="11">
        <v>72.8</v>
      </c>
      <c r="E575">
        <v>574</v>
      </c>
    </row>
    <row r="576" spans="1:5">
      <c r="A576">
        <v>117</v>
      </c>
      <c r="B576" t="s">
        <v>1181</v>
      </c>
      <c r="C576" t="s">
        <v>1182</v>
      </c>
      <c r="D576" s="11">
        <v>71.81</v>
      </c>
      <c r="E576">
        <v>575</v>
      </c>
    </row>
    <row r="577" spans="1:5">
      <c r="A577">
        <v>378</v>
      </c>
      <c r="B577" t="s">
        <v>1183</v>
      </c>
      <c r="C577" t="s">
        <v>1184</v>
      </c>
      <c r="D577" s="11">
        <v>71.81</v>
      </c>
      <c r="E577">
        <v>575</v>
      </c>
    </row>
    <row r="578" spans="1:5">
      <c r="A578">
        <v>162</v>
      </c>
      <c r="B578" t="s">
        <v>1185</v>
      </c>
      <c r="C578" t="s">
        <v>1186</v>
      </c>
      <c r="D578" s="11">
        <v>71.8</v>
      </c>
      <c r="E578">
        <v>577</v>
      </c>
    </row>
    <row r="579" spans="1:5">
      <c r="A579">
        <v>320</v>
      </c>
      <c r="B579" t="s">
        <v>1187</v>
      </c>
      <c r="C579" t="s">
        <v>1188</v>
      </c>
      <c r="D579" s="11">
        <v>71.8</v>
      </c>
      <c r="E579">
        <v>577</v>
      </c>
    </row>
    <row r="580" spans="1:5">
      <c r="A580">
        <v>177</v>
      </c>
      <c r="B580" t="s">
        <v>1189</v>
      </c>
      <c r="C580" t="s">
        <v>1190</v>
      </c>
      <c r="D580" s="11">
        <v>71.77</v>
      </c>
      <c r="E580">
        <v>579</v>
      </c>
    </row>
    <row r="581" spans="1:5">
      <c r="A581">
        <v>255</v>
      </c>
      <c r="B581" t="s">
        <v>1191</v>
      </c>
      <c r="C581" t="s">
        <v>1192</v>
      </c>
      <c r="D581" s="11">
        <v>70.819999999999993</v>
      </c>
      <c r="E581">
        <v>580</v>
      </c>
    </row>
    <row r="582" spans="1:5">
      <c r="A582">
        <v>370</v>
      </c>
      <c r="B582" t="s">
        <v>1193</v>
      </c>
      <c r="C582" t="s">
        <v>1194</v>
      </c>
      <c r="D582" s="11">
        <v>70.81</v>
      </c>
      <c r="E582">
        <v>581</v>
      </c>
    </row>
    <row r="583" spans="1:5">
      <c r="A583">
        <v>465</v>
      </c>
      <c r="B583" t="s">
        <v>1195</v>
      </c>
      <c r="C583" t="s">
        <v>1196</v>
      </c>
      <c r="D583" s="11">
        <v>69.83</v>
      </c>
      <c r="E583">
        <v>582</v>
      </c>
    </row>
    <row r="584" spans="1:5">
      <c r="A584">
        <v>271</v>
      </c>
      <c r="B584" t="s">
        <v>1197</v>
      </c>
      <c r="C584" t="s">
        <v>1198</v>
      </c>
      <c r="D584" s="11">
        <v>68.819999999999993</v>
      </c>
      <c r="E584">
        <v>583</v>
      </c>
    </row>
    <row r="585" spans="1:5">
      <c r="A585">
        <v>159</v>
      </c>
      <c r="B585" t="s">
        <v>1199</v>
      </c>
      <c r="C585" t="s">
        <v>1200</v>
      </c>
      <c r="D585" s="11">
        <v>68.790000000000006</v>
      </c>
      <c r="E585">
        <v>584</v>
      </c>
    </row>
    <row r="586" spans="1:5">
      <c r="A586">
        <v>218</v>
      </c>
      <c r="B586" t="s">
        <v>1201</v>
      </c>
      <c r="C586" t="s">
        <v>1202</v>
      </c>
      <c r="D586" s="11">
        <v>67.819999999999993</v>
      </c>
      <c r="E586">
        <v>585</v>
      </c>
    </row>
    <row r="587" spans="1:5">
      <c r="A587">
        <v>164</v>
      </c>
      <c r="B587" t="s">
        <v>1203</v>
      </c>
      <c r="C587" t="s">
        <v>1204</v>
      </c>
      <c r="D587" s="11">
        <v>66.84</v>
      </c>
      <c r="E587">
        <v>586</v>
      </c>
    </row>
    <row r="588" spans="1:5">
      <c r="A588">
        <v>458</v>
      </c>
      <c r="B588" t="s">
        <v>1205</v>
      </c>
      <c r="C588" t="s">
        <v>1206</v>
      </c>
      <c r="D588" s="11">
        <v>66.81</v>
      </c>
      <c r="E588">
        <v>587</v>
      </c>
    </row>
    <row r="589" spans="1:5">
      <c r="A589">
        <v>568</v>
      </c>
      <c r="B589" t="s">
        <v>1207</v>
      </c>
      <c r="C589" t="s">
        <v>1208</v>
      </c>
      <c r="D589" s="11">
        <v>66.790000000000006</v>
      </c>
      <c r="E589">
        <v>588</v>
      </c>
    </row>
    <row r="590" spans="1:5">
      <c r="A590">
        <v>492</v>
      </c>
      <c r="B590" t="s">
        <v>1209</v>
      </c>
      <c r="C590" t="s">
        <v>1210</v>
      </c>
      <c r="D590" s="11">
        <v>65.84</v>
      </c>
      <c r="E590">
        <v>589</v>
      </c>
    </row>
    <row r="591" spans="1:5">
      <c r="A591">
        <v>586</v>
      </c>
      <c r="B591" t="s">
        <v>1211</v>
      </c>
      <c r="C591" t="s">
        <v>1212</v>
      </c>
      <c r="D591" s="11">
        <v>64.81</v>
      </c>
      <c r="E591">
        <v>590</v>
      </c>
    </row>
    <row r="592" spans="1:5">
      <c r="A592">
        <v>252</v>
      </c>
      <c r="B592" t="s">
        <v>1213</v>
      </c>
      <c r="C592" t="s">
        <v>1214</v>
      </c>
      <c r="D592" s="11">
        <v>64.78</v>
      </c>
      <c r="E592">
        <v>591</v>
      </c>
    </row>
    <row r="593" spans="1:5">
      <c r="A593">
        <v>136</v>
      </c>
      <c r="B593" t="s">
        <v>1215</v>
      </c>
      <c r="C593" t="s">
        <v>1216</v>
      </c>
      <c r="D593" s="11">
        <v>62.85</v>
      </c>
      <c r="E593">
        <v>592</v>
      </c>
    </row>
    <row r="594" spans="1:5">
      <c r="A594">
        <v>110</v>
      </c>
      <c r="B594" t="s">
        <v>1217</v>
      </c>
      <c r="C594" t="s">
        <v>600</v>
      </c>
      <c r="D594" s="11">
        <v>59.86</v>
      </c>
      <c r="E594">
        <v>593</v>
      </c>
    </row>
    <row r="595" spans="1:5">
      <c r="A595">
        <v>61</v>
      </c>
      <c r="B595" t="s">
        <v>1218</v>
      </c>
      <c r="C595" t="s">
        <v>1219</v>
      </c>
      <c r="D595" s="11">
        <v>58.86</v>
      </c>
      <c r="E595">
        <v>594</v>
      </c>
    </row>
    <row r="596" spans="1:5">
      <c r="A596">
        <v>97</v>
      </c>
      <c r="B596" t="s">
        <v>1220</v>
      </c>
      <c r="C596" t="s">
        <v>457</v>
      </c>
      <c r="D596" s="11">
        <v>58.82</v>
      </c>
      <c r="E596">
        <v>595</v>
      </c>
    </row>
    <row r="597" spans="1:5">
      <c r="A597">
        <v>395</v>
      </c>
      <c r="B597" t="s">
        <v>1221</v>
      </c>
      <c r="C597" t="s">
        <v>1222</v>
      </c>
      <c r="D597" s="11">
        <v>57.81</v>
      </c>
      <c r="E597">
        <v>596</v>
      </c>
    </row>
    <row r="598" spans="1:5">
      <c r="A598">
        <v>318</v>
      </c>
      <c r="B598" t="s">
        <v>1223</v>
      </c>
      <c r="C598" t="s">
        <v>1224</v>
      </c>
      <c r="D598" s="11">
        <v>52.88</v>
      </c>
      <c r="E598">
        <v>597</v>
      </c>
    </row>
    <row r="599" spans="1:5">
      <c r="A599">
        <v>281</v>
      </c>
      <c r="B599" t="s">
        <v>1225</v>
      </c>
      <c r="C599" t="s">
        <v>1226</v>
      </c>
      <c r="D599" s="11">
        <v>50.86</v>
      </c>
      <c r="E599">
        <v>598</v>
      </c>
    </row>
    <row r="600" spans="1:5">
      <c r="A600">
        <v>248</v>
      </c>
      <c r="B600" t="s">
        <v>1227</v>
      </c>
      <c r="C600" t="s">
        <v>1228</v>
      </c>
      <c r="D600" s="11">
        <v>50.85</v>
      </c>
      <c r="E600">
        <v>599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E8F5-6AEE-47EA-AB91-6F82A3C738EB}">
  <dimension ref="A1:N44"/>
  <sheetViews>
    <sheetView showGridLines="0" tabSelected="1" zoomScale="53" zoomScaleNormal="53" workbookViewId="0">
      <selection activeCell="R42" sqref="R42"/>
    </sheetView>
  </sheetViews>
  <sheetFormatPr defaultRowHeight="14.5"/>
  <cols>
    <col min="14" max="14" width="3.26953125" customWidth="1"/>
  </cols>
  <sheetData>
    <row r="1" spans="1:14" ht="23.5">
      <c r="A1" s="19" t="s">
        <v>1244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>
      <c r="A3" s="4"/>
      <c r="B3" s="15" t="s">
        <v>1245</v>
      </c>
      <c r="C3" s="16"/>
      <c r="D3" s="5"/>
      <c r="E3" s="15" t="s">
        <v>1246</v>
      </c>
      <c r="F3" s="16"/>
      <c r="G3" s="5"/>
      <c r="H3" s="15" t="s">
        <v>1247</v>
      </c>
      <c r="I3" s="16"/>
      <c r="J3" s="5"/>
      <c r="K3" s="15" t="s">
        <v>1243</v>
      </c>
      <c r="L3" s="16"/>
      <c r="M3" s="5"/>
      <c r="N3" s="6"/>
    </row>
    <row r="4" spans="1:14" ht="26">
      <c r="A4" s="4"/>
      <c r="B4" s="17">
        <f>COUNTA(Table4[rental_count])</f>
        <v>296</v>
      </c>
      <c r="C4" s="18"/>
      <c r="D4" s="5"/>
      <c r="E4" s="17">
        <f>Q5_Category_Revenue!G2</f>
        <v>67406.559999999998</v>
      </c>
      <c r="F4" s="18"/>
      <c r="G4" s="5"/>
      <c r="H4" s="22">
        <f>AVERAGE(Q7_Customer_CLV!D2:D600)</f>
        <v>112.53181969949911</v>
      </c>
      <c r="I4" s="23"/>
      <c r="J4" s="5"/>
      <c r="K4" s="17" t="str">
        <f>Q7_Customer_CLV!G5</f>
        <v>KARL SEAL</v>
      </c>
      <c r="L4" s="18"/>
      <c r="M4" s="5"/>
      <c r="N4" s="6"/>
    </row>
    <row r="5" spans="1:14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1:14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4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1:14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spans="1:1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1:1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1:1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1:1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1:1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1: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1:1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1:1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1:1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</row>
    <row r="18" spans="1:1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</row>
    <row r="19" spans="1:14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0" spans="1:1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</row>
    <row r="21" spans="1:14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</row>
    <row r="22" spans="1:14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1:14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</row>
    <row r="24" spans="1:1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</row>
    <row r="25" spans="1:14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</row>
    <row r="26" spans="1:14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</row>
    <row r="27" spans="1:1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</row>
    <row r="28" spans="1:1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</row>
    <row r="29" spans="1:1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</row>
    <row r="30" spans="1:1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</row>
    <row r="31" spans="1:1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</row>
    <row r="32" spans="1:1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</row>
    <row r="33" spans="1:1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</row>
    <row r="34" spans="1:1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</row>
    <row r="35" spans="1:1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 spans="1:1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1:1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 spans="1:1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</row>
    <row r="39" spans="1:1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</row>
    <row r="40" spans="1:1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</row>
    <row r="41" spans="1:1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1:1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</row>
    <row r="43" spans="1:1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6"/>
    </row>
    <row r="44" spans="1:14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</row>
  </sheetData>
  <mergeCells count="9">
    <mergeCell ref="K3:L3"/>
    <mergeCell ref="K4:L4"/>
    <mergeCell ref="A1:N1"/>
    <mergeCell ref="B3:C3"/>
    <mergeCell ref="B4:C4"/>
    <mergeCell ref="E3:F3"/>
    <mergeCell ref="E4:F4"/>
    <mergeCell ref="H3:I3"/>
    <mergeCell ref="H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Q1_Above_Average</vt:lpstr>
      <vt:lpstr>Q2_Top_Films</vt:lpstr>
      <vt:lpstr>Q3_Never_Rented</vt:lpstr>
      <vt:lpstr>Q4_Store_Average</vt:lpstr>
      <vt:lpstr>Q5_Category_Revenue</vt:lpstr>
      <vt:lpstr>Q6_Staff_Workload</vt:lpstr>
      <vt:lpstr>Q7_Customer_CLV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VIHARI RD</dc:creator>
  <cp:lastModifiedBy>VIHARI RD</cp:lastModifiedBy>
  <dcterms:created xsi:type="dcterms:W3CDTF">2026-09-27T10:28:15Z</dcterms:created>
  <dcterms:modified xsi:type="dcterms:W3CDTF">2026-09-29T19:44:12Z</dcterms:modified>
</cp:coreProperties>
</file>